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430.xml"/>
  <Override ContentType="application/vnd.openxmlformats-officedocument.drawingml.chart+xml" PartName="/xl/charts/chart244.xml"/>
  <Override ContentType="application/vnd.openxmlformats-officedocument.drawingml.chart+xml" PartName="/xl/charts/chart341.xml"/>
  <Override ContentType="application/vnd.openxmlformats-officedocument.drawingml.chart+xml" PartName="/xl/charts/chart422.xml"/>
  <Override ContentType="application/vnd.openxmlformats-officedocument.drawingml.chart+xml" PartName="/xl/charts/chart333.xml"/>
  <Override ContentType="application/vnd.openxmlformats-officedocument.drawingml.chart+xml" PartName="/xl/charts/chart147.xml"/>
  <Override ContentType="application/vnd.openxmlformats-officedocument.drawingml.chart+xml" PartName="/xl/charts/chart252.xml"/>
  <Override ContentType="application/vnd.openxmlformats-officedocument.drawingml.chart+xml" PartName="/xl/charts/chart317.xml"/>
  <Override ContentType="application/vnd.openxmlformats-officedocument.drawingml.chart+xml" PartName="/xl/charts/chart78.xml"/>
  <Override ContentType="application/vnd.openxmlformats-officedocument.drawingml.chart+xml" PartName="/xl/charts/chart155.xml"/>
  <Override ContentType="application/vnd.openxmlformats-officedocument.drawingml.chart+xml" PartName="/xl/charts/chart406.xml"/>
  <Override ContentType="application/vnd.openxmlformats-officedocument.drawingml.chart+xml" PartName="/xl/charts/chart94.xml"/>
  <Override ContentType="application/vnd.openxmlformats-officedocument.drawingml.chart+xml" PartName="/xl/charts/chart228.xml"/>
  <Override ContentType="application/vnd.openxmlformats-officedocument.drawingml.chart+xml" PartName="/xl/charts/chart414.xml"/>
  <Override ContentType="application/vnd.openxmlformats-officedocument.drawingml.chart+xml" PartName="/xl/charts/chart139.xml"/>
  <Override ContentType="application/vnd.openxmlformats-officedocument.drawingml.chart+xml" PartName="/xl/charts/chart86.xml"/>
  <Override ContentType="application/vnd.openxmlformats-officedocument.drawingml.chart+xml" PartName="/xl/charts/chart236.xml"/>
  <Override ContentType="application/vnd.openxmlformats-officedocument.drawingml.chart+xml" PartName="/xl/charts/chart325.xml"/>
  <Override ContentType="application/vnd.openxmlformats-officedocument.drawingml.chart+xml" PartName="/xl/charts/chart429.xml"/>
  <Override ContentType="application/vnd.openxmlformats-officedocument.drawingml.chart+xml" PartName="/xl/charts/chart348.xml"/>
  <Override ContentType="application/vnd.openxmlformats-officedocument.drawingml.chart+xml" PartName="/xl/charts/chart493.xml"/>
  <Override ContentType="application/vnd.openxmlformats-officedocument.drawingml.chart+xml" PartName="/xl/charts/chart63.xml"/>
  <Override ContentType="application/vnd.openxmlformats-officedocument.drawingml.chart+xml" PartName="/xl/charts/chart445.xml"/>
  <Override ContentType="application/vnd.openxmlformats-officedocument.drawingml.chart+xml" PartName="/xl/charts/chart310.xml"/>
  <Override ContentType="application/vnd.openxmlformats-officedocument.drawingml.chart+xml" PartName="/xl/charts/chart396.xml"/>
  <Override ContentType="application/vnd.openxmlformats-officedocument.drawingml.chart+xml" PartName="/xl/charts/chart15.xml"/>
  <Override ContentType="application/vnd.openxmlformats-officedocument.drawingml.chart+xml" PartName="/xl/charts/chart477.xml"/>
  <Override ContentType="application/vnd.openxmlformats-officedocument.drawingml.chart+xml" PartName="/xl/charts/chart132.xml"/>
  <Override ContentType="application/vnd.openxmlformats-officedocument.drawingml.chart+xml" PartName="/xl/charts/chart213.xml"/>
  <Override ContentType="application/vnd.openxmlformats-officedocument.drawingml.chart+xml" PartName="/xl/charts/chart260.xml"/>
  <Override ContentType="application/vnd.openxmlformats-officedocument.drawingml.chart+xml" PartName="/xl/charts/chart163.xml"/>
  <Override ContentType="application/vnd.openxmlformats-officedocument.drawingml.chart+xml" PartName="/xl/charts/chart299.xml"/>
  <Override ContentType="application/vnd.openxmlformats-officedocument.drawingml.chart+xml" PartName="/xl/charts/chart291.xml"/>
  <Override ContentType="application/vnd.openxmlformats-officedocument.drawingml.chart+xml" PartName="/xl/charts/chart380.xml"/>
  <Override ContentType="application/vnd.openxmlformats-officedocument.drawingml.chart+xml" PartName="/xl/charts/chart31.xml"/>
  <Override ContentType="application/vnd.openxmlformats-officedocument.drawingml.chart+xml" PartName="/xl/charts/chart116.xml"/>
  <Override ContentType="application/vnd.openxmlformats-officedocument.drawingml.chart+xml" PartName="/xl/charts/chart205.xml"/>
  <Override ContentType="application/vnd.openxmlformats-officedocument.drawingml.chart+xml" PartName="/xl/charts/chart2.xml"/>
  <Override ContentType="application/vnd.openxmlformats-officedocument.drawingml.chart+xml" PartName="/xl/charts/chart178.xml"/>
  <Override ContentType="application/vnd.openxmlformats-officedocument.drawingml.chart+xml" PartName="/xl/charts/chart47.xml"/>
  <Override ContentType="application/vnd.openxmlformats-officedocument.drawingml.chart+xml" PartName="/xl/charts/chart461.xml"/>
  <Override ContentType="application/vnd.openxmlformats-officedocument.drawingml.chart+xml" PartName="/xl/charts/chart186.xml"/>
  <Override ContentType="application/vnd.openxmlformats-officedocument.drawingml.chart+xml" PartName="/xl/charts/chart372.xml"/>
  <Override ContentType="application/vnd.openxmlformats-officedocument.drawingml.chart+xml" PartName="/xl/charts/chart453.xml"/>
  <Override ContentType="application/vnd.openxmlformats-officedocument.drawingml.chart+xml" PartName="/xl/charts/chart55.xml"/>
  <Override ContentType="application/vnd.openxmlformats-officedocument.drawingml.chart+xml" PartName="/xl/charts/chart267.xml"/>
  <Override ContentType="application/vnd.openxmlformats-officedocument.drawingml.chart+xml" PartName="/xl/charts/chart284.xml"/>
  <Override ContentType="application/vnd.openxmlformats-officedocument.drawingml.chart+xml" PartName="/xl/charts/chart195.xml"/>
  <Override ContentType="application/vnd.openxmlformats-officedocument.drawingml.chart+xml" PartName="/xl/charts/chart38.xml"/>
  <Override ContentType="application/vnd.openxmlformats-officedocument.drawingml.chart+xml" PartName="/xl/charts/chart100.xml"/>
  <Override ContentType="application/vnd.openxmlformats-officedocument.drawingml.chart+xml" PartName="/xl/charts/chart470.xml"/>
  <Override ContentType="application/vnd.openxmlformats-officedocument.drawingml.chart+xml" PartName="/xl/charts/chart220.xml"/>
  <Override ContentType="application/vnd.openxmlformats-officedocument.drawingml.chart+xml" PartName="/xl/charts/chart357.xml"/>
  <Override ContentType="application/vnd.openxmlformats-officedocument.drawingml.chart+xml" PartName="/xl/charts/chart387.xml"/>
  <Override ContentType="application/vnd.openxmlformats-officedocument.drawingml.chart+xml" PartName="/xl/charts/chart438.xml"/>
  <Override ContentType="application/vnd.openxmlformats-officedocument.drawingml.chart+xml" PartName="/xl/charts/chart259.xml"/>
  <Override ContentType="application/vnd.openxmlformats-officedocument.drawingml.chart+xml" PartName="/xl/charts/chart276.xml"/>
  <Override ContentType="application/vnd.openxmlformats-officedocument.drawingml.chart+xml" PartName="/xl/charts/chart124.xml"/>
  <Override ContentType="application/vnd.openxmlformats-officedocument.drawingml.chart+xml" PartName="/xl/charts/chart70.xml"/>
  <Override ContentType="application/vnd.openxmlformats-officedocument.drawingml.chart+xml" PartName="/xl/charts/chart171.xml"/>
  <Override ContentType="application/vnd.openxmlformats-officedocument.drawingml.chart+xml" PartName="/xl/charts/chart40.xml"/>
  <Override ContentType="application/vnd.openxmlformats-officedocument.drawingml.chart+xml" PartName="/xl/charts/chart107.xml"/>
  <Override ContentType="application/vnd.openxmlformats-officedocument.drawingml.chart+xml" PartName="/xl/charts/chart9.xml"/>
  <Override ContentType="application/vnd.openxmlformats-officedocument.drawingml.chart+xml" PartName="/xl/charts/chart301.xml"/>
  <Override ContentType="application/vnd.openxmlformats-officedocument.drawingml.chart+xml" PartName="/xl/charts/chart468.xml"/>
  <Override ContentType="application/vnd.openxmlformats-officedocument.drawingml.chart+xml" PartName="/xl/charts/chart23.xml"/>
  <Override ContentType="application/vnd.openxmlformats-officedocument.drawingml.chart+xml" PartName="/xl/charts/chart485.xml"/>
  <Override ContentType="application/vnd.openxmlformats-officedocument.drawingml.chart+xml" PartName="/xl/charts/chart413.xml"/>
  <Override ContentType="application/vnd.openxmlformats-officedocument.drawingml.chart+xml" PartName="/xl/charts/chart172.xml"/>
  <Override ContentType="application/vnd.openxmlformats-officedocument.drawingml.chart+xml" PartName="/xl/charts/chart95.xml"/>
  <Override ContentType="application/vnd.openxmlformats-officedocument.drawingml.chart+xml" PartName="/xl/charts/chart227.xml"/>
  <Override ContentType="application/vnd.openxmlformats-officedocument.drawingml.chart+xml" PartName="/xl/charts/chart235.xml"/>
  <Override ContentType="application/vnd.openxmlformats-officedocument.drawingml.chart+xml" PartName="/xl/charts/chart324.xml"/>
  <Override ContentType="application/vnd.openxmlformats-officedocument.drawingml.chart+xml" PartName="/xl/charts/chart138.xml"/>
  <Override ContentType="application/vnd.openxmlformats-officedocument.drawingml.chart+xml" PartName="/xl/charts/chart261.xml"/>
  <Override ContentType="application/vnd.openxmlformats-officedocument.drawingml.chart+xml" PartName="/xl/charts/chart77.xml"/>
  <Override ContentType="application/vnd.openxmlformats-officedocument.drawingml.chart+xml" PartName="/xl/charts/chart334.xml"/>
  <Override ContentType="application/vnd.openxmlformats-officedocument.drawingml.chart+xml" PartName="/xl/charts/chart423.xml"/>
  <Override ContentType="application/vnd.openxmlformats-officedocument.drawingml.chart+xml" PartName="/xl/charts/chart8.xml"/>
  <Override ContentType="application/vnd.openxmlformats-officedocument.drawingml.chart+xml" PartName="/xl/charts/chart148.xml"/>
  <Override ContentType="application/vnd.openxmlformats-officedocument.drawingml.chart+xml" PartName="/xl/charts/chart156.xml"/>
  <Override ContentType="application/vnd.openxmlformats-officedocument.drawingml.chart+xml" PartName="/xl/charts/chart245.xml"/>
  <Override ContentType="application/vnd.openxmlformats-officedocument.drawingml.chart+xml" PartName="/xl/charts/chart431.xml"/>
  <Override ContentType="application/vnd.openxmlformats-officedocument.drawingml.chart+xml" PartName="/xl/charts/chart298.xml"/>
  <Override ContentType="application/vnd.openxmlformats-officedocument.drawingml.chart+xml" PartName="/xl/charts/chart46.xml"/>
  <Override ContentType="application/vnd.openxmlformats-officedocument.drawingml.chart+xml" PartName="/xl/charts/chart395.xml"/>
  <Override ContentType="application/vnd.openxmlformats-officedocument.drawingml.chart+xml" PartName="/xl/charts/chart212.xml"/>
  <Override ContentType="application/vnd.openxmlformats-officedocument.drawingml.chart+xml" PartName="/xl/charts/chart462.xml"/>
  <Override ContentType="application/vnd.openxmlformats-officedocument.drawingml.chart+xml" PartName="/xl/charts/chart187.xml"/>
  <Override ContentType="application/vnd.openxmlformats-officedocument.drawingml.chart+xml" PartName="/xl/charts/chart101.xml"/>
  <Override ContentType="application/vnd.openxmlformats-officedocument.drawingml.chart+xml" PartName="/xl/charts/chart340.xml"/>
  <Override ContentType="application/vnd.openxmlformats-officedocument.drawingml.chart+xml" PartName="/xl/charts/chart162.xml"/>
  <Override ContentType="application/vnd.openxmlformats-officedocument.drawingml.chart+xml" PartName="/xl/charts/chart428.xml"/>
  <Override ContentType="application/vnd.openxmlformats-officedocument.drawingml.chart+xml" PartName="/xl/charts/chart80.xml"/>
  <Override ContentType="application/vnd.openxmlformats-officedocument.drawingml.chart+xml" PartName="/xl/charts/chart133.xml"/>
  <Override ContentType="application/vnd.openxmlformats-officedocument.drawingml.chart+xml" PartName="/xl/charts/chart62.xml"/>
  <Override ContentType="application/vnd.openxmlformats-officedocument.drawingml.chart+xml" PartName="/xl/charts/chart318.xml"/>
  <Override ContentType="application/vnd.openxmlformats-officedocument.drawingml.chart+xml" PartName="/xl/charts/chart349.xml"/>
  <Override ContentType="application/vnd.openxmlformats-officedocument.drawingml.chart+xml" PartName="/xl/charts/chart494.xml"/>
  <Override ContentType="application/vnd.openxmlformats-officedocument.drawingml.chart+xml" PartName="/xl/charts/chart446.xml"/>
  <Override ContentType="application/vnd.openxmlformats-officedocument.drawingml.chart+xml" PartName="/xl/charts/chart230.xml"/>
  <Override ContentType="application/vnd.openxmlformats-officedocument.drawingml.chart+xml" PartName="/xl/charts/chart117.xml"/>
  <Override ContentType="application/vnd.openxmlformats-officedocument.drawingml.chart+xml" PartName="/xl/charts/chart478.xml"/>
  <Override ContentType="application/vnd.openxmlformats-officedocument.drawingml.chart+xml" PartName="/xl/charts/chart177.xml"/>
  <Override ContentType="application/vnd.openxmlformats-officedocument.drawingml.chart+xml" PartName="/xl/charts/chart30.xml"/>
  <Override ContentType="application/vnd.openxmlformats-officedocument.drawingml.chart+xml" PartName="/xl/charts/chart452.xml"/>
  <Override ContentType="application/vnd.openxmlformats-officedocument.drawingml.chart+xml" PartName="/xl/charts/chart266.xml"/>
  <Override ContentType="application/vnd.openxmlformats-officedocument.drawingml.chart+xml" PartName="/xl/charts/chart194.xml"/>
  <Override ContentType="application/vnd.openxmlformats-officedocument.drawingml.chart+xml" PartName="/xl/charts/chart283.xml"/>
  <Override ContentType="application/vnd.openxmlformats-officedocument.drawingml.chart+xml" PartName="/xl/charts/chart39.xml"/>
  <Override ContentType="application/vnd.openxmlformats-officedocument.drawingml.chart+xml" PartName="/xl/charts/chart56.xml"/>
  <Override ContentType="application/vnd.openxmlformats-officedocument.drawingml.chart+xml" PartName="/xl/charts/chart373.xml"/>
  <Override ContentType="application/vnd.openxmlformats-officedocument.drawingml.chart+xml" PartName="/xl/charts/chart3.xml"/>
  <Override ContentType="application/vnd.openxmlformats-officedocument.drawingml.chart+xml" PartName="/xl/charts/chart206.xml"/>
  <Override ContentType="application/vnd.openxmlformats-officedocument.drawingml.chart+xml" PartName="/xl/charts/chart390.xml"/>
  <Override ContentType="application/vnd.openxmlformats-officedocument.drawingml.chart+xml" PartName="/xl/charts/chart41.xml"/>
  <Override ContentType="application/vnd.openxmlformats-officedocument.drawingml.chart+xml" PartName="/xl/charts/chart123.xml"/>
  <Override ContentType="application/vnd.openxmlformats-officedocument.drawingml.chart+xml" PartName="/xl/charts/chart106.xml"/>
  <Override ContentType="application/vnd.openxmlformats-officedocument.drawingml.chart+xml" PartName="/xl/charts/chart467.xml"/>
  <Override ContentType="application/vnd.openxmlformats-officedocument.drawingml.chart+xml" PartName="/xl/charts/chart356.xml"/>
  <Override ContentType="application/vnd.openxmlformats-officedocument.drawingml.chart+xml" PartName="/xl/charts/chart24.xml"/>
  <Override ContentType="application/vnd.openxmlformats-officedocument.drawingml.chart+xml" PartName="/xl/charts/chart140.xml"/>
  <Override ContentType="application/vnd.openxmlformats-officedocument.drawingml.chart+xml" PartName="/xl/charts/chart484.xml"/>
  <Override ContentType="application/vnd.openxmlformats-officedocument.drawingml.chart+xml" PartName="/xl/charts/chart339.xml"/>
  <Override ContentType="application/vnd.openxmlformats-officedocument.drawingml.chart+xml" PartName="/xl/charts/chart388.xml"/>
  <Override ContentType="application/vnd.openxmlformats-officedocument.drawingml.chart+xml" PartName="/xl/charts/chart302.xml"/>
  <Override ContentType="application/vnd.openxmlformats-officedocument.drawingml.chart+xml" PartName="/xl/charts/chart251.xml"/>
  <Override ContentType="application/vnd.openxmlformats-officedocument.drawingml.chart+xml" PartName="/xl/charts/chart277.xml"/>
  <Override ContentType="application/vnd.openxmlformats-officedocument.drawingml.chart+xml" PartName="/xl/charts/chart407.xml"/>
  <Override ContentType="application/vnd.openxmlformats-officedocument.drawingml.chart+xml" PartName="/xl/charts/chart270.xml"/>
  <Override ContentType="application/vnd.openxmlformats-officedocument.drawingml.chart+xml" PartName="/xl/charts/chart491.xml"/>
  <Override ContentType="application/vnd.openxmlformats-officedocument.drawingml.chart+xml" PartName="/xl/charts/chart394.xml"/>
  <Override ContentType="application/vnd.openxmlformats-officedocument.drawingml.chart+xml" PartName="/xl/charts/chart262.xml"/>
  <Override ContentType="application/vnd.openxmlformats-officedocument.drawingml.chart+xml" PartName="/xl/charts/chart122.xml"/>
  <Override ContentType="application/vnd.openxmlformats-officedocument.drawingml.chart+xml" PartName="/xl/charts/chart386.xml"/>
  <Override ContentType="application/vnd.openxmlformats-officedocument.drawingml.chart+xml" PartName="/xl/charts/chart439.xml"/>
  <Override ContentType="application/vnd.openxmlformats-officedocument.drawingml.chart+xml" PartName="/xl/charts/chart17.xml"/>
  <Override ContentType="application/vnd.openxmlformats-officedocument.drawingml.chart+xml" PartName="/xl/charts/chart307.xml"/>
  <Override ContentType="application/vnd.openxmlformats-officedocument.drawingml.chart+xml" PartName="/xl/charts/chart165.xml"/>
  <Override ContentType="application/vnd.openxmlformats-officedocument.drawingml.chart+xml" PartName="/xl/charts/chart351.xml"/>
  <Override ContentType="application/vnd.openxmlformats-officedocument.drawingml.chart+xml" PartName="/xl/charts/chart238.xml"/>
  <Override ContentType="application/vnd.openxmlformats-officedocument.drawingml.chart+xml" PartName="/xl/charts/chart416.xml"/>
  <Override ContentType="application/vnd.openxmlformats-officedocument.drawingml.chart+xml" PartName="/xl/charts/chart335.xml"/>
  <Override ContentType="application/vnd.openxmlformats-officedocument.drawingml.chart+xml" PartName="/xl/charts/chart29.xml"/>
  <Override ContentType="application/vnd.openxmlformats-officedocument.drawingml.chart+xml" PartName="/xl/charts/chart157.xml"/>
  <Override ContentType="application/vnd.openxmlformats-officedocument.drawingml.chart+xml" PartName="/xl/charts/chart242.xml"/>
  <Override ContentType="application/vnd.openxmlformats-officedocument.drawingml.chart+xml" PartName="/xl/charts/chart285.xml"/>
  <Override ContentType="application/vnd.openxmlformats-officedocument.drawingml.chart+xml" PartName="/xl/charts/chart378.xml"/>
  <Override ContentType="application/vnd.openxmlformats-officedocument.drawingml.chart+xml" PartName="/xl/charts/chart114.xml"/>
  <Override ContentType="application/vnd.openxmlformats-officedocument.drawingml.chart+xml" PartName="/xl/charts/chart129.xml"/>
  <Override ContentType="application/vnd.openxmlformats-officedocument.drawingml.chart+xml" PartName="/xl/charts/chart45.xml"/>
  <Override ContentType="application/vnd.openxmlformats-officedocument.drawingml.chart+xml" PartName="/xl/charts/chart290.xml"/>
  <Override ContentType="application/vnd.openxmlformats-officedocument.drawingml.chart+xml" PartName="/xl/charts/chart463.xml"/>
  <Override ContentType="application/vnd.openxmlformats-officedocument.drawingml.chart+xml" PartName="/xl/charts/chart92.xml"/>
  <Override ContentType="application/vnd.openxmlformats-officedocument.drawingml.chart+xml" PartName="/xl/charts/chart420.xml"/>
  <Override ContentType="application/vnd.openxmlformats-officedocument.drawingml.chart+xml" PartName="/xl/charts/chart150.xml"/>
  <Override ContentType="application/vnd.openxmlformats-officedocument.drawingml.chart+xml" PartName="/xl/charts/chart323.xml"/>
  <Override ContentType="application/vnd.openxmlformats-officedocument.drawingml.chart+xml" PartName="/xl/charts/chart88.xml"/>
  <Override ContentType="application/vnd.openxmlformats-officedocument.drawingml.chart+xml" PartName="/xl/charts/chart193.xml"/>
  <Override ContentType="application/vnd.openxmlformats-officedocument.drawingml.chart+xml" PartName="/xl/charts/chart366.xml"/>
  <Override ContentType="application/vnd.openxmlformats-officedocument.drawingml.chart+xml" PartName="/xl/charts/chart459.xml"/>
  <Override ContentType="application/vnd.openxmlformats-officedocument.drawingml.chart+xml" PartName="/xl/charts/chart257.xml"/>
  <Override ContentType="application/vnd.openxmlformats-officedocument.drawingml.chart+xml" PartName="/xl/charts/chart57.xml"/>
  <Override ContentType="application/vnd.openxmlformats-officedocument.drawingml.chart+xml" PartName="/xl/charts/chart109.xml"/>
  <Override ContentType="application/vnd.openxmlformats-officedocument.drawingml.chart+xml" PartName="/xl/charts/chart14.xml"/>
  <Override ContentType="application/vnd.openxmlformats-officedocument.drawingml.chart+xml" PartName="/xl/charts/chart320.xml"/>
  <Override ContentType="application/vnd.openxmlformats-officedocument.drawingml.chart+xml" PartName="/xl/charts/chart214.xml"/>
  <Override ContentType="application/vnd.openxmlformats-officedocument.drawingml.chart+xml" PartName="/xl/charts/chart265.xml"/>
  <Override ContentType="application/vnd.openxmlformats-officedocument.drawingml.chart+xml" PartName="/xl/charts/chart222.xml"/>
  <Override ContentType="application/vnd.openxmlformats-officedocument.drawingml.chart+xml" PartName="/xl/charts/chart363.xml"/>
  <Override ContentType="application/vnd.openxmlformats-officedocument.drawingml.chart+xml" PartName="/xl/charts/chart207.xml"/>
  <Override ContentType="application/vnd.openxmlformats-officedocument.drawingml.chart+xml" PartName="/xl/charts/chart72.xml"/>
  <Override ContentType="application/vnd.openxmlformats-officedocument.drawingml.chart+xml" PartName="/xl/charts/chart436.xml"/>
  <Override ContentType="application/vnd.openxmlformats-officedocument.drawingml.chart+xml" PartName="/xl/charts/chart479.xml"/>
  <Override ContentType="application/vnd.openxmlformats-officedocument.drawingml.chart+xml" PartName="/xl/charts/chart487.xml"/>
  <Override ContentType="application/vnd.openxmlformats-officedocument.drawingml.chart+xml" PartName="/xl/charts/chart401.xml"/>
  <Override ContentType="application/vnd.openxmlformats-officedocument.drawingml.chart+xml" PartName="/xl/charts/chart21.xml"/>
  <Override ContentType="application/vnd.openxmlformats-officedocument.drawingml.chart+xml" PartName="/xl/charts/chart64.xml"/>
  <Override ContentType="application/vnd.openxmlformats-officedocument.drawingml.chart+xml" PartName="/xl/charts/chart338.xml"/>
  <Override ContentType="application/vnd.openxmlformats-officedocument.drawingml.chart+xml" PartName="/xl/charts/chart444.xml"/>
  <Override ContentType="application/vnd.openxmlformats-officedocument.drawingml.chart+xml" PartName="/xl/charts/chart293.xml"/>
  <Override ContentType="application/vnd.openxmlformats-officedocument.drawingml.chart+xml" PartName="/xl/charts/chart250.xml"/>
  <Override ContentType="application/vnd.openxmlformats-officedocument.drawingml.chart+xml" PartName="/xl/charts/chart408.xml"/>
  <Override ContentType="application/vnd.openxmlformats-officedocument.drawingml.chart+xml" PartName="/xl/charts/chart85.xml"/>
  <Override ContentType="application/vnd.openxmlformats-officedocument.drawingml.chart+xml" PartName="/xl/charts/chart391.xml"/>
  <Override ContentType="application/vnd.openxmlformats-officedocument.drawingml.chart+xml" PartName="/xl/charts/chart472.xml"/>
  <Override ContentType="application/vnd.openxmlformats-officedocument.drawingml.chart+xml" PartName="/xl/charts/chart184.xml"/>
  <Override ContentType="application/vnd.openxmlformats-officedocument.drawingml.chart+xml" PartName="/xl/charts/chart137.xml"/>
  <Override ContentType="application/vnd.openxmlformats-officedocument.drawingml.chart+xml" PartName="/xl/charts/chart229.xml"/>
  <Override ContentType="application/vnd.openxmlformats-officedocument.drawingml.chart+xml" PartName="/xl/charts/chart278.xml"/>
  <Override ContentType="application/vnd.openxmlformats-officedocument.drawingml.chart+xml" PartName="/xl/charts/chart79.xml"/>
  <Override ContentType="application/vnd.openxmlformats-officedocument.drawingml.chart+xml" PartName="/xl/charts/chart141.xml"/>
  <Override ContentType="application/vnd.openxmlformats-officedocument.drawingml.chart+xml" PartName="/xl/charts/chart36.xml"/>
  <Override ContentType="application/vnd.openxmlformats-officedocument.drawingml.chart+xml" PartName="/xl/charts/chart316.xml"/>
  <Override ContentType="application/vnd.openxmlformats-officedocument.drawingml.chart+xml" PartName="/xl/charts/chart359.xml"/>
  <Override ContentType="application/vnd.openxmlformats-officedocument.drawingml.chart+xml" PartName="/xl/charts/chart308.xml"/>
  <Override ContentType="application/vnd.openxmlformats-officedocument.drawingml.chart+xml" PartName="/xl/charts/chart44.xml"/>
  <Override ContentType="application/vnd.openxmlformats-officedocument.drawingml.chart+xml" PartName="/xl/charts/chart121.xml"/>
  <Override ContentType="application/vnd.openxmlformats-officedocument.drawingml.chart+xml" PartName="/xl/charts/chart87.xml"/>
  <Override ContentType="application/vnd.openxmlformats-officedocument.drawingml.chart+xml" PartName="/xl/charts/chart164.xml"/>
  <Override ContentType="application/vnd.openxmlformats-officedocument.drawingml.chart+xml" PartName="/xl/charts/chart421.xml"/>
  <Override ContentType="application/vnd.openxmlformats-officedocument.drawingml.chart+xml" PartName="/xl/charts/chart393.xml"/>
  <Override ContentType="application/vnd.openxmlformats-officedocument.drawingml.chart+xml" PartName="/xl/charts/chart350.xml"/>
  <Override ContentType="application/vnd.openxmlformats-officedocument.drawingml.chart+xml" PartName="/xl/charts/chart237.xml"/>
  <Override ContentType="application/vnd.openxmlformats-officedocument.drawingml.chart+xml" PartName="/xl/charts/chart385.xml"/>
  <Override ContentType="application/vnd.openxmlformats-officedocument.drawingml.chart+xml" PartName="/xl/charts/chart342.xml"/>
  <Override ContentType="application/vnd.openxmlformats-officedocument.drawingml.chart+xml" PartName="/xl/charts/chart271.xml"/>
  <Override ContentType="application/vnd.openxmlformats-officedocument.drawingml.chart+xml" PartName="/xl/charts/chart16.xml"/>
  <Override ContentType="application/vnd.openxmlformats-officedocument.drawingml.chart+xml" PartName="/xl/charts/chart59.xml"/>
  <Override ContentType="application/vnd.openxmlformats-officedocument.drawingml.chart+xml" PartName="/xl/charts/chart322.xml"/>
  <Override ContentType="application/vnd.openxmlformats-officedocument.drawingml.chart+xml" PartName="/xl/charts/chart158.xml"/>
  <Override ContentType="application/vnd.openxmlformats-officedocument.drawingml.chart+xml" PartName="/xl/charts/chart492.xml"/>
  <Override ContentType="application/vnd.openxmlformats-officedocument.drawingml.chart+xml" PartName="/xl/charts/chart50.xml"/>
  <Override ContentType="application/vnd.openxmlformats-officedocument.drawingml.chart+xml" PartName="/xl/charts/chart93.xml"/>
  <Override ContentType="application/vnd.openxmlformats-officedocument.drawingml.chart+xml" PartName="/xl/charts/chart415.xml"/>
  <Override ContentType="application/vnd.openxmlformats-officedocument.drawingml.chart+xml" PartName="/xl/charts/chart458.xml"/>
  <Override ContentType="application/vnd.openxmlformats-officedocument.drawingml.chart+xml" PartName="/xl/charts/chart209.xml"/>
  <Override ContentType="application/vnd.openxmlformats-officedocument.drawingml.chart+xml" PartName="/xl/charts/chart192.xml"/>
  <Override ContentType="application/vnd.openxmlformats-officedocument.drawingml.chart+xml" PartName="/xl/charts/chart365.xml"/>
  <Override ContentType="application/vnd.openxmlformats-officedocument.drawingml.chart+xml" PartName="/xl/charts/chart243.xml"/>
  <Override ContentType="application/vnd.openxmlformats-officedocument.drawingml.chart+xml" PartName="/xl/charts/chart200.xml"/>
  <Override ContentType="application/vnd.openxmlformats-officedocument.drawingml.chart+xml" PartName="/xl/charts/chart370.xml"/>
  <Override ContentType="application/vnd.openxmlformats-officedocument.drawingml.chart+xml" PartName="/xl/charts/chart464.xml"/>
  <Override ContentType="application/vnd.openxmlformats-officedocument.drawingml.chart+xml" PartName="/xl/charts/chart379.xml"/>
  <Override ContentType="application/vnd.openxmlformats-officedocument.drawingml.chart+xml" PartName="/xl/charts/chart336.xml"/>
  <Override ContentType="application/vnd.openxmlformats-officedocument.drawingml.chart+xml" PartName="/xl/charts/chart115.xml"/>
  <Override ContentType="application/vnd.openxmlformats-officedocument.drawingml.chart+xml" PartName="/xl/charts/chart286.xml"/>
  <Override ContentType="application/vnd.openxmlformats-officedocument.drawingml.chart+xml" PartName="/xl/charts/chart65.xml"/>
  <Override ContentType="application/vnd.openxmlformats-officedocument.drawingml.chart+xml" PartName="/xl/charts/chart142.xml"/>
  <Override ContentType="application/vnd.openxmlformats-officedocument.drawingml.chart+xml" PartName="/xl/charts/chart185.xml"/>
  <Override ContentType="application/vnd.openxmlformats-officedocument.drawingml.chart+xml" PartName="/xl/charts/chart400.xml"/>
  <Override ContentType="application/vnd.openxmlformats-officedocument.drawingml.chart+xml" PartName="/xl/charts/chart371.xml"/>
  <Override ContentType="application/vnd.openxmlformats-officedocument.drawingml.chart+xml" PartName="/xl/charts/chart337.xml"/>
  <Override ContentType="application/vnd.openxmlformats-officedocument.drawingml.chart+xml" PartName="/xl/charts/chart443.xml"/>
  <Override ContentType="application/vnd.openxmlformats-officedocument.drawingml.chart+xml" PartName="/xl/charts/chart486.xml"/>
  <Override ContentType="application/vnd.openxmlformats-officedocument.drawingml.chart+xml" PartName="/xl/charts/chart22.xml"/>
  <Override ContentType="application/vnd.openxmlformats-officedocument.drawingml.chart+xml" PartName="/xl/charts/chart364.xml"/>
  <Override ContentType="application/vnd.openxmlformats-officedocument.drawingml.chart+xml" PartName="/xl/charts/chart321.xml"/>
  <Override ContentType="application/vnd.openxmlformats-officedocument.drawingml.chart+xml" PartName="/xl/charts/chart215.xml"/>
  <Override ContentType="application/vnd.openxmlformats-officedocument.drawingml.chart+xml" PartName="/xl/charts/chart292.xml"/>
  <Override ContentType="application/vnd.openxmlformats-officedocument.drawingml.chart+xml" PartName="/xl/charts/chart108.xml"/>
  <Override ContentType="application/vnd.openxmlformats-officedocument.drawingml.chart+xml" PartName="/xl/charts/chart258.xml"/>
  <Override ContentType="application/vnd.openxmlformats-officedocument.drawingml.chart+xml" PartName="/xl/charts/chart409.xml"/>
  <Override ContentType="application/vnd.openxmlformats-officedocument.drawingml.chart+xml" PartName="/xl/charts/chart136.xml"/>
  <Override ContentType="application/vnd.openxmlformats-officedocument.drawingml.chart+xml" PartName="/xl/charts/chart71.xml"/>
  <Override ContentType="application/vnd.openxmlformats-officedocument.drawingml.chart+xml" PartName="/xl/charts/chart437.xml"/>
  <Override ContentType="application/vnd.openxmlformats-officedocument.drawingml.chart+xml" PartName="/xl/charts/chart37.xml"/>
  <Override ContentType="application/vnd.openxmlformats-officedocument.drawingml.chart+xml" PartName="/xl/charts/chart343.xml"/>
  <Override ContentType="application/vnd.openxmlformats-officedocument.drawingml.chart+xml" PartName="/xl/charts/chart170.xml"/>
  <Override ContentType="application/vnd.openxmlformats-officedocument.drawingml.chart+xml" PartName="/xl/charts/chart300.xml"/>
  <Override ContentType="application/vnd.openxmlformats-officedocument.drawingml.chart+xml" PartName="/xl/charts/chart471.xml"/>
  <Override ContentType="application/vnd.openxmlformats-officedocument.drawingml.chart+xml" PartName="/xl/charts/chart179.xml"/>
  <Override ContentType="application/vnd.openxmlformats-officedocument.drawingml.chart+xml" PartName="/xl/charts/chart1.xml"/>
  <Override ContentType="application/vnd.openxmlformats-officedocument.drawingml.chart+xml" PartName="/xl/charts/chart315.xml"/>
  <Override ContentType="application/vnd.openxmlformats-officedocument.drawingml.chart+xml" PartName="/xl/charts/chart309.xml"/>
  <Override ContentType="application/vnd.openxmlformats-officedocument.drawingml.chart+xml" PartName="/xl/charts/chart358.xml"/>
  <Override ContentType="application/vnd.openxmlformats-officedocument.drawingml.chart+xml" PartName="/xl/charts/chart264.xml"/>
  <Override ContentType="application/vnd.openxmlformats-officedocument.drawingml.chart+xml" PartName="/xl/charts/chart392.xml"/>
  <Override ContentType="application/vnd.openxmlformats-officedocument.drawingml.chart+xml" PartName="/xl/charts/chart221.xml"/>
  <Override ContentType="application/vnd.openxmlformats-officedocument.drawingml.chart+xml" PartName="/xl/charts/chart376.xml"/>
  <Override ContentType="application/vnd.openxmlformats-officedocument.drawingml.chart+xml" PartName="/xl/charts/chart201.xml"/>
  <Override ContentType="application/vnd.openxmlformats-officedocument.drawingml.chart+xml" PartName="/xl/charts/chart473.xml"/>
  <Override ContentType="application/vnd.openxmlformats-officedocument.drawingml.chart+xml" PartName="/xl/charts/chart27.xml"/>
  <Override ContentType="application/vnd.openxmlformats-officedocument.drawingml.chart+xml" PartName="/xl/charts/chart104.xml"/>
  <Override ContentType="application/vnd.openxmlformats-officedocument.drawingml.chart+xml" PartName="/xl/charts/chart198.xml"/>
  <Override ContentType="application/vnd.openxmlformats-officedocument.drawingml.chart+xml" PartName="/xl/charts/chart384.xml"/>
  <Override ContentType="application/vnd.openxmlformats-officedocument.drawingml.chart+xml" PartName="/xl/charts/chart43.xml"/>
  <Override ContentType="application/vnd.openxmlformats-officedocument.drawingml.chart+xml" PartName="/xl/charts/chart120.xml"/>
  <Override ContentType="application/vnd.openxmlformats-officedocument.drawingml.chart+xml" PartName="/xl/charts/chart279.xml"/>
  <Override ContentType="application/vnd.openxmlformats-officedocument.drawingml.chart+xml" PartName="/xl/charts/chart465.xml"/>
  <Override ContentType="application/vnd.openxmlformats-officedocument.drawingml.chart+xml" PartName="/xl/charts/chart449.xml"/>
  <Override ContentType="application/vnd.openxmlformats-officedocument.drawingml.chart+xml" PartName="/xl/charts/chart35.xml"/>
  <Override ContentType="application/vnd.openxmlformats-officedocument.drawingml.chart+xml" PartName="/xl/charts/chart112.xml"/>
  <Override ContentType="application/vnd.openxmlformats-officedocument.drawingml.chart+xml" PartName="/xl/charts/chart287.xml"/>
  <Override ContentType="application/vnd.openxmlformats-officedocument.drawingml.chart+xml" PartName="/xl/charts/chart457.xml"/>
  <Override ContentType="application/vnd.openxmlformats-officedocument.drawingml.chart+xml" PartName="/xl/charts/chart51.xml"/>
  <Override ContentType="application/vnd.openxmlformats-officedocument.drawingml.chart+xml" PartName="/xl/charts/chart368.xml"/>
  <Override ContentType="application/vnd.openxmlformats-officedocument.drawingml.chart+xml" PartName="/xl/charts/chart191.xml"/>
  <Override ContentType="application/vnd.openxmlformats-officedocument.drawingml.chart+xml" PartName="/xl/charts/chart305.xml"/>
  <Override ContentType="application/vnd.openxmlformats-officedocument.drawingml.chart+xml" PartName="/xl/charts/chart402.xml"/>
  <Override ContentType="application/vnd.openxmlformats-officedocument.drawingml.chart+xml" PartName="/xl/charts/chart20.xml"/>
  <Override ContentType="application/vnd.openxmlformats-officedocument.drawingml.chart+xml" PartName="/xl/charts/chart175.xml"/>
  <Override ContentType="application/vnd.openxmlformats-officedocument.drawingml.chart+xml" PartName="/xl/charts/chart488.xml"/>
  <Override ContentType="application/vnd.openxmlformats-officedocument.drawingml.chart+xml" PartName="/xl/charts/chart127.xml"/>
  <Override ContentType="application/vnd.openxmlformats-officedocument.drawingml.chart+xml" PartName="/xl/charts/chart272.xml"/>
  <Override ContentType="application/vnd.openxmlformats-officedocument.drawingml.chart+xml" PartName="/xl/charts/chart58.xml"/>
  <Override ContentType="application/vnd.openxmlformats-officedocument.drawingml.chart+xml" PartName="/xl/charts/chart159.xml"/>
  <Override ContentType="application/vnd.openxmlformats-officedocument.drawingml.chart+xml" PartName="/xl/charts/chart256.xml"/>
  <Override ContentType="application/vnd.openxmlformats-officedocument.drawingml.chart+xml" PartName="/xl/charts/chart450.xml"/>
  <Override ContentType="application/vnd.openxmlformats-officedocument.drawingml.chart+xml" PartName="/xl/charts/chart481.xml"/>
  <Override ContentType="application/vnd.openxmlformats-officedocument.drawingml.chart+xml" PartName="/xl/charts/chart5.xml"/>
  <Override ContentType="application/vnd.openxmlformats-officedocument.drawingml.chart+xml" PartName="/xl/charts/chart208.xml"/>
  <Override ContentType="application/vnd.openxmlformats-officedocument.drawingml.chart+xml" PartName="/xl/charts/chart353.xml"/>
  <Override ContentType="application/vnd.openxmlformats-officedocument.drawingml.chart+xml" PartName="/xl/charts/chart74.xml"/>
  <Override ContentType="application/vnd.openxmlformats-officedocument.drawingml.chart+xml" PartName="/xl/charts/chart248.xml"/>
  <Override ContentType="application/vnd.openxmlformats-officedocument.drawingml.chart+xml" PartName="/xl/charts/chart434.xml"/>
  <Override ContentType="application/vnd.openxmlformats-officedocument.drawingml.chart+xml" PartName="/xl/charts/chart417.xml"/>
  <Override ContentType="application/vnd.openxmlformats-officedocument.drawingml.chart+xml" PartName="/xl/charts/chart135.xml"/>
  <Override ContentType="application/vnd.openxmlformats-officedocument.drawingml.chart+xml" PartName="/xl/charts/chart496.xml"/>
  <Override ContentType="application/vnd.openxmlformats-officedocument.drawingml.chart+xml" PartName="/xl/charts/chart91.xml"/>
  <Override ContentType="application/vnd.openxmlformats-officedocument.drawingml.chart+xml" PartName="/xl/charts/chart143.xml"/>
  <Override ContentType="application/vnd.openxmlformats-officedocument.drawingml.chart+xml" PartName="/xl/charts/chart224.xml"/>
  <Override ContentType="application/vnd.openxmlformats-officedocument.drawingml.chart+xml" PartName="/xl/charts/chart410.xml"/>
  <Override ContentType="application/vnd.openxmlformats-officedocument.drawingml.chart+xml" PartName="/xl/charts/chart160.xml"/>
  <Override ContentType="application/vnd.openxmlformats-officedocument.drawingml.chart+xml" PartName="/xl/charts/chart241.xml"/>
  <Override ContentType="application/vnd.openxmlformats-officedocument.drawingml.chart+xml" PartName="/xl/charts/chart329.xml"/>
  <Override ContentType="application/vnd.openxmlformats-officedocument.drawingml.chart+xml" PartName="/xl/charts/chart12.xml"/>
  <Override ContentType="application/vnd.openxmlformats-officedocument.drawingml.chart+xml" PartName="/xl/charts/chart152.xml"/>
  <Override ContentType="application/vnd.openxmlformats-officedocument.drawingml.chart+xml" PartName="/xl/charts/chart263.xml"/>
  <Override ContentType="application/vnd.openxmlformats-officedocument.drawingml.chart+xml" PartName="/xl/charts/chart280.xml"/>
  <Override ContentType="application/vnd.openxmlformats-officedocument.drawingml.chart+xml" PartName="/xl/charts/chart344.xml"/>
  <Override ContentType="application/vnd.openxmlformats-officedocument.drawingml.chart+xml" PartName="/xl/charts/chart216.xml"/>
  <Override ContentType="application/vnd.openxmlformats-officedocument.drawingml.chart+xml" PartName="/xl/charts/chart98.xml"/>
  <Override ContentType="application/vnd.openxmlformats-officedocument.drawingml.chart+xml" PartName="/xl/charts/chart361.xml"/>
  <Override ContentType="application/vnd.openxmlformats-officedocument.drawingml.chart+xml" PartName="/xl/charts/chart233.xml"/>
  <Override ContentType="application/vnd.openxmlformats-officedocument.drawingml.chart+xml" PartName="/xl/charts/chart190.xml"/>
  <Override ContentType="application/vnd.openxmlformats-officedocument.drawingml.chart+xml" PartName="/xl/charts/chart442.xml"/>
  <Override ContentType="application/vnd.openxmlformats-officedocument.drawingml.chart+xml" PartName="/xl/charts/chart83.xml"/>
  <Override ContentType="application/vnd.openxmlformats-officedocument.drawingml.chart+xml" PartName="/xl/charts/chart66.xml"/>
  <Override ContentType="application/vnd.openxmlformats-officedocument.drawingml.chart+xml" PartName="/xl/charts/chart425.xml"/>
  <Override ContentType="application/vnd.openxmlformats-officedocument.drawingml.chart+xml" PartName="/xl/charts/chart19.xml"/>
  <Override ContentType="application/vnd.openxmlformats-officedocument.drawingml.chart+xml" PartName="/xl/charts/chart295.xml"/>
  <Override ContentType="application/vnd.openxmlformats-officedocument.drawingml.chart+xml" PartName="/xl/charts/chart314.xml"/>
  <Override ContentType="application/vnd.openxmlformats-officedocument.drawingml.chart+xml" PartName="/xl/charts/chart167.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490.xml"/>
  <Override ContentType="application/vnd.openxmlformats-officedocument.drawingml.chart+xml" PartName="/xl/charts/chart367.xml"/>
  <Override ContentType="application/vnd.openxmlformats-officedocument.drawingml.chart+xml" PartName="/xl/charts/chart456.xml"/>
  <Override ContentType="application/vnd.openxmlformats-officedocument.drawingml.chart+xml" PartName="/xl/charts/chart105.xml"/>
  <Override ContentType="application/vnd.openxmlformats-officedocument.drawingml.chart+xml" PartName="/xl/charts/chart466.xml"/>
  <Override ContentType="application/vnd.openxmlformats-officedocument.drawingml.chart+xml" PartName="/xl/charts/chart34.xml"/>
  <Override ContentType="application/vnd.openxmlformats-officedocument.drawingml.chart+xml" PartName="/xl/charts/chart202.xml"/>
  <Override ContentType="application/vnd.openxmlformats-officedocument.drawingml.chart+xml" PartName="/xl/charts/chart42.xml"/>
  <Override ContentType="application/vnd.openxmlformats-officedocument.drawingml.chart+xml" PartName="/xl/charts/chart199.xml"/>
  <Override ContentType="application/vnd.openxmlformats-officedocument.drawingml.chart+xml" PartName="/xl/charts/chart182.xml"/>
  <Override ContentType="application/vnd.openxmlformats-officedocument.drawingml.chart+xml" PartName="/xl/charts/chart474.xml"/>
  <Override ContentType="application/vnd.openxmlformats-officedocument.drawingml.chart+xml" PartName="/xl/charts/chart113.xml"/>
  <Override ContentType="application/vnd.openxmlformats-officedocument.drawingml.chart+xml" PartName="/xl/charts/chart288.xml"/>
  <Override ContentType="application/vnd.openxmlformats-officedocument.drawingml.chart+xml" PartName="/xl/charts/chart377.xml"/>
  <Override ContentType="application/vnd.openxmlformats-officedocument.drawingml.chart+xml" PartName="/xl/charts/chart89.xml"/>
  <Override ContentType="application/vnd.openxmlformats-officedocument.drawingml.chart+xml" PartName="/xl/charts/chart352.xml"/>
  <Override ContentType="application/vnd.openxmlformats-officedocument.drawingml.chart+xml" PartName="/xl/charts/chart255.xml"/>
  <Override ContentType="application/vnd.openxmlformats-officedocument.drawingml.chart+xml" PartName="/xl/charts/chart489.xml"/>
  <Override ContentType="application/vnd.openxmlformats-officedocument.drawingml.chart+xml" PartName="/xl/charts/chart306.xml"/>
  <Override ContentType="application/vnd.openxmlformats-officedocument.drawingml.chart+xml" PartName="/xl/charts/chart4.xml"/>
  <Override ContentType="application/vnd.openxmlformats-officedocument.drawingml.chart+xml" PartName="/xl/charts/chart144.xml"/>
  <Override ContentType="application/vnd.openxmlformats-officedocument.drawingml.chart+xml" PartName="/xl/charts/chart28.xml"/>
  <Override ContentType="application/vnd.openxmlformats-officedocument.drawingml.chart+xml" PartName="/xl/charts/chart383.xml"/>
  <Override ContentType="application/vnd.openxmlformats-officedocument.drawingml.chart+xml" PartName="/xl/charts/chart480.xml"/>
  <Override ContentType="application/vnd.openxmlformats-officedocument.drawingml.chart+xml" PartName="/xl/charts/chart239.xml"/>
  <Override ContentType="application/vnd.openxmlformats-officedocument.drawingml.chart+xml" PartName="/xl/charts/chart451.xml"/>
  <Override ContentType="application/vnd.openxmlformats-officedocument.drawingml.chart+xml" PartName="/xl/charts/chart176.xml"/>
  <Override ContentType="application/vnd.openxmlformats-officedocument.drawingml.chart+xml" PartName="/xl/charts/chart273.xml"/>
  <Override ContentType="application/vnd.openxmlformats-officedocument.drawingml.chart+xml" PartName="/xl/charts/chart403.xml"/>
  <Override ContentType="application/vnd.openxmlformats-officedocument.drawingml.chart+xml" PartName="/xl/charts/chart128.xml"/>
  <Override ContentType="application/vnd.openxmlformats-officedocument.drawingml.chart+xml" PartName="/xl/charts/chart90.xml"/>
  <Override ContentType="application/vnd.openxmlformats-officedocument.drawingml.chart+xml" PartName="/xl/charts/chart249.xml"/>
  <Override ContentType="application/vnd.openxmlformats-officedocument.drawingml.chart+xml" PartName="/xl/charts/chart435.xml"/>
  <Override ContentType="application/vnd.openxmlformats-officedocument.drawingml.chart+xml" PartName="/xl/charts/chart134.xml"/>
  <Override ContentType="application/vnd.openxmlformats-officedocument.drawingml.chart+xml" PartName="/xl/charts/chart13.xml"/>
  <Override ContentType="application/vnd.openxmlformats-officedocument.drawingml.chart+xml" PartName="/xl/charts/chart151.xml"/>
  <Override ContentType="application/vnd.openxmlformats-officedocument.drawingml.chart+xml" PartName="/xl/charts/chart495.xml"/>
  <Override ContentType="application/vnd.openxmlformats-officedocument.drawingml.chart+xml" PartName="/xl/charts/chart240.xml"/>
  <Override ContentType="application/vnd.openxmlformats-officedocument.drawingml.chart+xml" PartName="/xl/charts/chart399.xml"/>
  <Override ContentType="application/vnd.openxmlformats-officedocument.drawingml.chart+xml" PartName="/xl/charts/chart99.xml"/>
  <Override ContentType="application/vnd.openxmlformats-officedocument.drawingml.chart+xml" PartName="/xl/charts/chart223.xml"/>
  <Override ContentType="application/vnd.openxmlformats-officedocument.drawingml.chart+xml" PartName="/xl/charts/chart73.xml"/>
  <Override ContentType="application/vnd.openxmlformats-officedocument.drawingml.chart+xml" PartName="/xl/charts/chart418.xml"/>
  <Override ContentType="application/vnd.openxmlformats-officedocument.drawingml.chart+xml" PartName="/xl/charts/chart166.xml"/>
  <Override ContentType="application/vnd.openxmlformats-officedocument.drawingml.chart+xml" PartName="/xl/charts/chart84.xml"/>
  <Override ContentType="application/vnd.openxmlformats-officedocument.drawingml.chart+xml" PartName="/xl/charts/chart441.xml"/>
  <Override ContentType="application/vnd.openxmlformats-officedocument.drawingml.chart+xml" PartName="/xl/charts/chart149.xml"/>
  <Override ContentType="application/vnd.openxmlformats-officedocument.drawingml.chart+xml" PartName="/xl/charts/chart183.xml"/>
  <Override ContentType="application/vnd.openxmlformats-officedocument.drawingml.chart+xml" PartName="/xl/charts/chart330.xml"/>
  <Override ContentType="application/vnd.openxmlformats-officedocument.drawingml.chart+xml" PartName="/xl/charts/chart424.xml"/>
  <Override ContentType="application/vnd.openxmlformats-officedocument.drawingml.chart+xml" PartName="/xl/charts/chart67.xml"/>
  <Override ContentType="application/vnd.openxmlformats-officedocument.drawingml.chart+xml" PartName="/xl/charts/chart328.xml"/>
  <Override ContentType="application/vnd.openxmlformats-officedocument.drawingml.chart+xml" PartName="/xl/charts/chart313.xml"/>
  <Override ContentType="application/vnd.openxmlformats-officedocument.drawingml.chart+xml" PartName="/xl/charts/chart294.xml"/>
  <Override ContentType="application/vnd.openxmlformats-officedocument.drawingml.chart+xml" PartName="/xl/charts/chart345.xml"/>
  <Override ContentType="application/vnd.openxmlformats-officedocument.drawingml.chart+xml" PartName="/xl/charts/chart362.xml"/>
  <Override ContentType="application/vnd.openxmlformats-officedocument.drawingml.chart+xml" PartName="/xl/charts/chart217.xml"/>
  <Override ContentType="application/vnd.openxmlformats-officedocument.drawingml.chart+xml" PartName="/xl/charts/chart234.xml"/>
  <Override ContentType="application/vnd.openxmlformats-officedocument.drawingml.chart+xml" PartName="/xl/charts/chart7.xml"/>
  <Override ContentType="application/vnd.openxmlformats-officedocument.drawingml.chart+xml" PartName="/xl/charts/chart181.xml"/>
  <Override ContentType="application/vnd.openxmlformats-officedocument.drawingml.chart+xml" PartName="/xl/charts/chart404.xml"/>
  <Override ContentType="application/vnd.openxmlformats-officedocument.drawingml.chart+xml" PartName="/xl/charts/chart61.xml"/>
  <Override ContentType="application/vnd.openxmlformats-officedocument.drawingml.chart+xml" PartName="/xl/charts/chart130.xml"/>
  <Override ContentType="application/vnd.openxmlformats-officedocument.drawingml.chart+xml" PartName="/xl/charts/chart218.xml"/>
  <Override ContentType="application/vnd.openxmlformats-officedocument.drawingml.chart+xml" PartName="/xl/charts/chart254.xml"/>
  <Override ContentType="application/vnd.openxmlformats-officedocument.drawingml.chart+xml" PartName="/xl/charts/chart173.xml"/>
  <Override ContentType="application/vnd.openxmlformats-officedocument.drawingml.chart+xml" PartName="/xl/charts/chart25.xml"/>
  <Override ContentType="application/vnd.openxmlformats-officedocument.drawingml.chart+xml" PartName="/xl/charts/chart68.xml"/>
  <Override ContentType="application/vnd.openxmlformats-officedocument.drawingml.chart+xml" PartName="/xl/charts/chart440.xml"/>
  <Override ContentType="application/vnd.openxmlformats-officedocument.drawingml.chart+xml" PartName="/xl/charts/chart297.xml"/>
  <Override ContentType="application/vnd.openxmlformats-officedocument.drawingml.chart+xml" PartName="/xl/charts/chart483.xml"/>
  <Override ContentType="application/vnd.openxmlformats-officedocument.drawingml.chart+xml" PartName="/xl/charts/chart161.xml"/>
  <Override ContentType="application/vnd.openxmlformats-officedocument.drawingml.chart+xml" PartName="/xl/charts/chart382.xml"/>
  <Override ContentType="application/vnd.openxmlformats-officedocument.drawingml.chart+xml" PartName="/xl/charts/chart319.xml"/>
  <Override ContentType="application/vnd.openxmlformats-officedocument.drawingml.chart+xml" PartName="/xl/charts/chart188.xml"/>
  <Override ContentType="application/vnd.openxmlformats-officedocument.drawingml.chart+xml" PartName="/xl/charts/chart211.xml"/>
  <Override ContentType="application/vnd.openxmlformats-officedocument.drawingml.chart+xml" PartName="/xl/charts/chart475.xml"/>
  <Override ContentType="application/vnd.openxmlformats-officedocument.drawingml.chart+xml" PartName="/xl/charts/chart33.xml"/>
  <Override ContentType="application/vnd.openxmlformats-officedocument.drawingml.chart+xml" PartName="/xl/charts/chart432.xml"/>
  <Override ContentType="application/vnd.openxmlformats-officedocument.drawingml.chart+xml" PartName="/xl/charts/chart76.xml"/>
  <Override ContentType="application/vnd.openxmlformats-officedocument.drawingml.chart+xml" PartName="/xl/charts/chart447.xml"/>
  <Override ContentType="application/vnd.openxmlformats-officedocument.drawingml.chart+xml" PartName="/xl/charts/chart269.xml"/>
  <Override ContentType="application/vnd.openxmlformats-officedocument.drawingml.chart+xml" PartName="/xl/charts/chart226.xml"/>
  <Override ContentType="application/vnd.openxmlformats-officedocument.drawingml.chart+xml" PartName="/xl/charts/chart102.xml"/>
  <Override ContentType="application/vnd.openxmlformats-officedocument.drawingml.chart+xml" PartName="/xl/charts/chart145.xml"/>
  <Override ContentType="application/vnd.openxmlformats-officedocument.drawingml.chart+xml" PartName="/xl/charts/chart303.xml"/>
  <Override ContentType="application/vnd.openxmlformats-officedocument.drawingml.chart+xml" PartName="/xl/charts/chart274.xml"/>
  <Override ContentType="application/vnd.openxmlformats-officedocument.drawingml.chart+xml" PartName="/xl/charts/chart389.xml"/>
  <Override ContentType="application/vnd.openxmlformats-officedocument.drawingml.chart+xml" PartName="/xl/charts/chart282.xml"/>
  <Override ContentType="application/vnd.openxmlformats-officedocument.drawingml.chart+xml" PartName="/xl/charts/chart427.xml"/>
  <Override ContentType="application/vnd.openxmlformats-officedocument.drawingml.chart+xml" PartName="/xl/charts/chart398.xml"/>
  <Override ContentType="application/vnd.openxmlformats-officedocument.drawingml.chart+xml" PartName="/xl/charts/chart346.xml"/>
  <Override ContentType="application/vnd.openxmlformats-officedocument.drawingml.chart+xml" PartName="/xl/charts/chart231.xml"/>
  <Override ContentType="application/vnd.openxmlformats-officedocument.drawingml.chart+xml" PartName="/xl/charts/chart419.xml"/>
  <Override ContentType="application/vnd.openxmlformats-officedocument.drawingml.chart+xml" PartName="/xl/charts/chart118.xml"/>
  <Override ContentType="application/vnd.openxmlformats-officedocument.drawingml.chart+xml" PartName="/xl/charts/chart81.xml"/>
  <Override ContentType="application/vnd.openxmlformats-officedocument.drawingml.chart+xml" PartName="/xl/charts/chart355.xml"/>
  <Override ContentType="application/vnd.openxmlformats-officedocument.drawingml.chart+xml" PartName="/xl/charts/chart126.xml"/>
  <Override ContentType="application/vnd.openxmlformats-officedocument.drawingml.chart+xml" PartName="/xl/charts/chart169.xml"/>
  <Override ContentType="application/vnd.openxmlformats-officedocument.drawingml.chart+xml" PartName="/xl/charts/chart312.xml"/>
  <Override ContentType="application/vnd.openxmlformats-officedocument.drawingml.chart+xml" PartName="/xl/charts/chart327.xml"/>
  <Override ContentType="application/vnd.openxmlformats-officedocument.drawingml.chart+xml" PartName="/xl/charts/chart289.xml"/>
  <Override ContentType="application/vnd.openxmlformats-officedocument.drawingml.chart+xml" PartName="/xl/charts/chart374.xml"/>
  <Override ContentType="application/vnd.openxmlformats-officedocument.drawingml.chart+xml" PartName="/xl/charts/chart203.xml"/>
  <Override ContentType="application/vnd.openxmlformats-officedocument.drawingml.chart+xml" PartName="/xl/charts/chart246.xml"/>
  <Override ContentType="application/vnd.openxmlformats-officedocument.drawingml.chart+xml" PartName="/xl/charts/chart53.xml"/>
  <Override ContentType="application/vnd.openxmlformats-officedocument.drawingml.chart+xml" PartName="/xl/charts/chart154.xml"/>
  <Override ContentType="application/vnd.openxmlformats-officedocument.drawingml.chart+xml" PartName="/xl/charts/chart10.xml"/>
  <Override ContentType="application/vnd.openxmlformats-officedocument.drawingml.chart+xml" PartName="/xl/charts/chart111.xml"/>
  <Override ContentType="application/vnd.openxmlformats-officedocument.drawingml.chart+xml" PartName="/xl/charts/chart197.xml"/>
  <Override ContentType="application/vnd.openxmlformats-officedocument.drawingml.chart+xml" PartName="/xl/charts/chart455.xml"/>
  <Override ContentType="application/vnd.openxmlformats-officedocument.drawingml.chart+xml" PartName="/xl/charts/chart96.xml"/>
  <Override ContentType="application/vnd.openxmlformats-officedocument.drawingml.chart+xml" PartName="/xl/charts/chart412.xml"/>
  <Override ContentType="application/vnd.openxmlformats-officedocument.drawingml.chart+xml" PartName="/xl/charts/chart49.xml"/>
  <Override ContentType="application/vnd.openxmlformats-officedocument.drawingml.chart+xml" PartName="/xl/charts/chart331.xml"/>
  <Override ContentType="application/vnd.openxmlformats-officedocument.drawingml.chart+xml" PartName="/xl/charts/chart405.xml"/>
  <Override ContentType="application/vnd.openxmlformats-officedocument.drawingml.chart+xml" PartName="/xl/charts/chart219.xml"/>
  <Override ContentType="application/vnd.openxmlformats-officedocument.drawingml.chart+xml" PartName="/xl/charts/chart448.xml"/>
  <Override ContentType="application/vnd.openxmlformats-officedocument.drawingml.chart+xml" PartName="/xl/charts/chart253.xml"/>
  <Override ContentType="application/vnd.openxmlformats-officedocument.drawingml.chart+xml" PartName="/xl/charts/chart482.xml"/>
  <Override ContentType="application/vnd.openxmlformats-officedocument.drawingml.chart+xml" PartName="/xl/charts/chart103.xml"/>
  <Override ContentType="application/vnd.openxmlformats-officedocument.drawingml.chart+xml" PartName="/xl/charts/chart26.xml"/>
  <Override ContentType="application/vnd.openxmlformats-officedocument.drawingml.chart+xml" PartName="/xl/charts/chart296.xml"/>
  <Override ContentType="application/vnd.openxmlformats-officedocument.drawingml.chart+xml" PartName="/xl/charts/chart369.xml"/>
  <Override ContentType="application/vnd.openxmlformats-officedocument.drawingml.chart+xml" PartName="/xl/charts/chart69.xml"/>
  <Override ContentType="application/vnd.openxmlformats-officedocument.drawingml.chart+xml" PartName="/xl/charts/chart210.xml"/>
  <Override ContentType="application/vnd.openxmlformats-officedocument.drawingml.chart+xml" PartName="/xl/charts/chart60.xml"/>
  <Override ContentType="application/vnd.openxmlformats-officedocument.drawingml.chart+xml" PartName="/xl/charts/chart225.xml"/>
  <Override ContentType="application/vnd.openxmlformats-officedocument.drawingml.chart+xml" PartName="/xl/charts/chart268.xml"/>
  <Override ContentType="application/vnd.openxmlformats-officedocument.drawingml.chart+xml" PartName="/xl/charts/chart174.xml"/>
  <Override ContentType="application/vnd.openxmlformats-officedocument.drawingml.chart+xml" PartName="/xl/charts/chart131.xml"/>
  <Override ContentType="application/vnd.openxmlformats-officedocument.drawingml.chart+xml" PartName="/xl/charts/chart6.xml"/>
  <Override ContentType="application/vnd.openxmlformats-officedocument.drawingml.chart+xml" PartName="/xl/charts/chart146.xml"/>
  <Override ContentType="application/vnd.openxmlformats-officedocument.drawingml.chart+xml" PartName="/xl/charts/chart189.xml"/>
  <Override ContentType="application/vnd.openxmlformats-officedocument.drawingml.chart+xml" PartName="/xl/charts/chart433.xml"/>
  <Override ContentType="application/vnd.openxmlformats-officedocument.drawingml.chart+xml" PartName="/xl/charts/chart476.xml"/>
  <Override ContentType="application/vnd.openxmlformats-officedocument.drawingml.chart+xml" PartName="/xl/charts/chart32.xml"/>
  <Override ContentType="application/vnd.openxmlformats-officedocument.drawingml.chart+xml" PartName="/xl/charts/chart180.xml"/>
  <Override ContentType="application/vnd.openxmlformats-officedocument.drawingml.chart+xml" PartName="/xl/charts/chart75.xml"/>
  <Override ContentType="application/vnd.openxmlformats-officedocument.drawingml.chart+xml" PartName="/xl/charts/chart460.xml"/>
  <Override ContentType="application/vnd.openxmlformats-officedocument.drawingml.chart+xml" PartName="/xl/charts/chart82.xml"/>
  <Override ContentType="application/vnd.openxmlformats-officedocument.drawingml.chart+xml" PartName="/xl/charts/chart426.xml"/>
  <Override ContentType="application/vnd.openxmlformats-officedocument.drawingml.chart+xml" PartName="/xl/charts/chart397.xml"/>
  <Override ContentType="application/vnd.openxmlformats-officedocument.drawingml.chart+xml" PartName="/xl/charts/chart469.xml"/>
  <Override ContentType="application/vnd.openxmlformats-officedocument.drawingml.chart+xml" PartName="/xl/charts/chart125.xml"/>
  <Override ContentType="application/vnd.openxmlformats-officedocument.drawingml.chart+xml" PartName="/xl/charts/chart311.xml"/>
  <Override ContentType="application/vnd.openxmlformats-officedocument.drawingml.chart+xml" PartName="/xl/charts/chart48.xml"/>
  <Override ContentType="application/vnd.openxmlformats-officedocument.drawingml.chart+xml" PartName="/xl/charts/chart354.xml"/>
  <Override ContentType="application/vnd.openxmlformats-officedocument.drawingml.chart+xml" PartName="/xl/charts/chart168.xml"/>
  <Override ContentType="application/vnd.openxmlformats-officedocument.drawingml.chart+xml" PartName="/xl/charts/chart275.xml"/>
  <Override ContentType="application/vnd.openxmlformats-officedocument.drawingml.chart+xml" PartName="/xl/charts/chart347.xml"/>
  <Override ContentType="application/vnd.openxmlformats-officedocument.drawingml.chart+xml" PartName="/xl/charts/chart304.xml"/>
  <Override ContentType="application/vnd.openxmlformats-officedocument.drawingml.chart+xml" PartName="/xl/charts/chart381.xml"/>
  <Override ContentType="application/vnd.openxmlformats-officedocument.drawingml.chart+xml" PartName="/xl/charts/chart232.xml"/>
  <Override ContentType="application/vnd.openxmlformats-officedocument.drawingml.chart+xml" PartName="/xl/charts/chart454.xml"/>
  <Override ContentType="application/vnd.openxmlformats-officedocument.drawingml.chart+xml" PartName="/xl/charts/chart11.xml"/>
  <Override ContentType="application/vnd.openxmlformats-officedocument.drawingml.chart+xml" PartName="/xl/charts/chart196.xml"/>
  <Override ContentType="application/vnd.openxmlformats-officedocument.drawingml.chart+xml" PartName="/xl/charts/chart360.xml"/>
  <Override ContentType="application/vnd.openxmlformats-officedocument.drawingml.chart+xml" PartName="/xl/charts/chart54.xml"/>
  <Override ContentType="application/vnd.openxmlformats-officedocument.drawingml.chart+xml" PartName="/xl/charts/chart97.xml"/>
  <Override ContentType="application/vnd.openxmlformats-officedocument.drawingml.chart+xml" PartName="/xl/charts/chart411.xml"/>
  <Override ContentType="application/vnd.openxmlformats-officedocument.drawingml.chart+xml" PartName="/xl/charts/chart110.xml"/>
  <Override ContentType="application/vnd.openxmlformats-officedocument.drawingml.chart+xml" PartName="/xl/charts/chart497.xml"/>
  <Override ContentType="application/vnd.openxmlformats-officedocument.drawingml.chart+xml" PartName="/xl/charts/chart153.xml"/>
  <Override ContentType="application/vnd.openxmlformats-officedocument.drawingml.chart+xml" PartName="/xl/charts/chart326.xml"/>
  <Override ContentType="application/vnd.openxmlformats-officedocument.drawingml.chart+xml" PartName="/xl/charts/chart281.xml"/>
  <Override ContentType="application/vnd.openxmlformats-officedocument.drawingml.chart+xml" PartName="/xl/charts/chart375.xml"/>
  <Override ContentType="application/vnd.openxmlformats-officedocument.drawingml.chart+xml" PartName="/xl/charts/chart332.xml"/>
  <Override ContentType="application/vnd.openxmlformats-officedocument.drawingml.chart+xml" PartName="/xl/charts/chart204.xml"/>
  <Override ContentType="application/vnd.openxmlformats-officedocument.drawingml.chart+xml" PartName="/xl/charts/chart119.xml"/>
  <Override ContentType="application/vnd.openxmlformats-officedocument.drawingml.chart+xml" PartName="/xl/charts/chart247.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hodology" sheetId="1" r:id="rId5"/>
    <sheet state="visible" name="Progressive Analysis" sheetId="2" r:id="rId6"/>
    <sheet state="visible" name="HOUSE If We Win 2026" sheetId="3" r:id="rId7"/>
    <sheet state="visible" name="State Senator, Dist 1" sheetId="4" r:id="rId8"/>
    <sheet state="visible" name="State Senator, Dist 2" sheetId="5" r:id="rId9"/>
    <sheet state="visible" name="State Senator, Dist 3" sheetId="6" r:id="rId10"/>
    <sheet state="visible" name="State Senator, Dist 4" sheetId="7" r:id="rId11"/>
    <sheet state="visible" name="State Senator, Dist 5" sheetId="8" r:id="rId12"/>
    <sheet state="visible" name="State Senator, Dist 6" sheetId="9" r:id="rId13"/>
    <sheet state="visible" name="State Senator, Dist 7" sheetId="10" r:id="rId14"/>
    <sheet state="visible" name="State Senator, Dist 8" sheetId="11" r:id="rId15"/>
    <sheet state="visible" name="State Senator, Dist 9" sheetId="12" r:id="rId16"/>
    <sheet state="visible" name="State Senator, Dist 10" sheetId="13" r:id="rId17"/>
    <sheet state="visible" name="State Senator, Dist 11" sheetId="14" r:id="rId18"/>
    <sheet state="visible" name="State Senator, Dist 12" sheetId="15" r:id="rId19"/>
    <sheet state="visible" name="State Senator, Dist 13" sheetId="16" r:id="rId20"/>
    <sheet state="visible" name="State Senator, Dist 14" sheetId="17" r:id="rId21"/>
    <sheet state="visible" name="State Senator, Dist 15" sheetId="18" r:id="rId22"/>
    <sheet state="visible" name="State Senator, Dist 16" sheetId="19" r:id="rId23"/>
    <sheet state="visible" name="State Senator, Dist 17" sheetId="20" r:id="rId24"/>
    <sheet state="visible" name="State Senator, Dist 18" sheetId="21" r:id="rId25"/>
    <sheet state="visible" name="State Senator, Dist 19" sheetId="22" r:id="rId26"/>
    <sheet state="visible" name="State Senator, Dist 20" sheetId="23" r:id="rId27"/>
    <sheet state="visible" name="State Senator, Dist 21" sheetId="24" r:id="rId28"/>
    <sheet state="visible" name="State Senator, Dist 22" sheetId="25" r:id="rId29"/>
    <sheet state="visible" name="State Senator, Dist 23" sheetId="26" r:id="rId30"/>
    <sheet state="visible" name="State Senator, Dist 24" sheetId="27" r:id="rId31"/>
    <sheet state="visible" name="State Senator, Dist 25" sheetId="28" r:id="rId32"/>
    <sheet state="visible" name="State Representative, Dist 1" sheetId="29" r:id="rId33"/>
    <sheet state="visible" name="State Representative, Dist 2" sheetId="30" r:id="rId34"/>
    <sheet state="visible" name="State Representative, Dist 3" sheetId="31" r:id="rId35"/>
    <sheet state="visible" name="State Representative, Dist 4" sheetId="32" r:id="rId36"/>
    <sheet state="visible" name="State Representative, Dist 5" sheetId="33" r:id="rId37"/>
    <sheet state="visible" name="State Representative, Dist 6" sheetId="34" r:id="rId38"/>
    <sheet state="visible" name="State Representative, Dist 7" sheetId="35" r:id="rId39"/>
    <sheet state="visible" name="State Representative, Dist 8" sheetId="36" r:id="rId40"/>
    <sheet state="visible" name="State Representative, Dist 9" sheetId="37" r:id="rId41"/>
    <sheet state="visible" name="State Representative, Dist 10" sheetId="38" r:id="rId42"/>
    <sheet state="visible" name="State Representative, Dist 11" sheetId="39" r:id="rId43"/>
    <sheet state="visible" name="State Representative, Dist 12" sheetId="40" r:id="rId44"/>
    <sheet state="visible" name="State Representative, Dist 13" sheetId="41" r:id="rId45"/>
    <sheet state="visible" name="State Representative, Dist 14" sheetId="42" r:id="rId46"/>
    <sheet state="visible" name="State Representative, Dist 15" sheetId="43" r:id="rId47"/>
    <sheet state="visible" name="State Representative, Dist 16" sheetId="44" r:id="rId48"/>
    <sheet state="visible" name="State Representative, Dist 17" sheetId="45" r:id="rId49"/>
    <sheet state="visible" name="State Representative, Dist 19" sheetId="46" r:id="rId50"/>
    <sheet state="visible" name="State Representative, Dist 20" sheetId="47" r:id="rId51"/>
    <sheet state="visible" name="State Representative, Dist 21" sheetId="48" r:id="rId52"/>
    <sheet state="visible" name="State Representative, Dist 22" sheetId="49" r:id="rId53"/>
    <sheet state="visible" name="State Representative, Dist 23" sheetId="50" r:id="rId54"/>
    <sheet state="visible" name="State Representative, Dist 24" sheetId="51" r:id="rId55"/>
    <sheet state="visible" name="State Representative, Dist 25" sheetId="52" r:id="rId56"/>
    <sheet state="visible" name="State Representative, Dist 26" sheetId="53" r:id="rId57"/>
    <sheet state="visible" name="State Representative, Dist 27" sheetId="54" r:id="rId58"/>
    <sheet state="visible" name="State Representative, Dist 28" sheetId="55" r:id="rId59"/>
    <sheet state="visible" name="State Representative, Dist 29" sheetId="56" r:id="rId60"/>
    <sheet state="visible" name="State Representative, Dist 30" sheetId="57" r:id="rId61"/>
    <sheet state="visible" name="State Representative, Dist 31" sheetId="58" r:id="rId62"/>
    <sheet state="visible" name="State Representative, Dist 32" sheetId="59" r:id="rId63"/>
    <sheet state="visible" name="State Representative, Dist 33" sheetId="60" r:id="rId64"/>
    <sheet state="visible" name="State Representative, Dist 34" sheetId="61" r:id="rId65"/>
    <sheet state="visible" name="State Representative, Dist 35" sheetId="62" r:id="rId66"/>
    <sheet state="visible" name="State Representative, Dist 36" sheetId="63" r:id="rId67"/>
    <sheet state="visible" name="State Representative, Dist 37" sheetId="64" r:id="rId68"/>
    <sheet state="visible" name="State Representative, Dist 38" sheetId="65" r:id="rId69"/>
    <sheet state="visible" name="State Representative, Dist 39" sheetId="66" r:id="rId70"/>
    <sheet state="visible" name="State Representative, Dist 40" sheetId="67" r:id="rId71"/>
    <sheet state="visible" name="State Representative, Dist 41" sheetId="68" r:id="rId72"/>
    <sheet state="visible" name="State Representative, Dist 42" sheetId="69" r:id="rId73"/>
    <sheet state="visible" name="State Representative, Dist 43" sheetId="70" r:id="rId74"/>
    <sheet state="visible" name="State Representative, Dist 44" sheetId="71" r:id="rId75"/>
    <sheet state="visible" name="State Representative, Dist 45" sheetId="72" r:id="rId76"/>
    <sheet state="visible" name="State Representative, Dist 46" sheetId="73" r:id="rId77"/>
    <sheet state="visible" name="State Representative, Dist 47" sheetId="74" r:id="rId78"/>
    <sheet state="visible" name="State Representative, Dist 48" sheetId="75" r:id="rId79"/>
    <sheet state="visible" name="State Representative, Dist 49" sheetId="76" r:id="rId80"/>
    <sheet state="visible" name="Sheet4" sheetId="77" r:id="rId81"/>
    <sheet state="visible" name="State Representative, Dist 50" sheetId="78" r:id="rId82"/>
    <sheet state="visible" name="State Representative, Dist 51" sheetId="79" r:id="rId83"/>
    <sheet state="visible" name="U.S. Senator" sheetId="80" r:id="rId84"/>
    <sheet state="visible" name="U.S. Representative, Dist I" sheetId="81" r:id="rId85"/>
    <sheet state="visible" name="U.S. Representative, Dist II" sheetId="82" r:id="rId86"/>
  </sheets>
  <definedNames/>
  <calcPr/>
</workbook>
</file>

<file path=xl/sharedStrings.xml><?xml version="1.0" encoding="utf-8"?>
<sst xmlns="http://schemas.openxmlformats.org/spreadsheetml/2006/main" count="5972" uniqueCount="772">
  <si>
    <t>Win Number</t>
  </si>
  <si>
    <t>Due to recent redistricting, win numbers were calculated using the data from the 2022 and 2024 elections, or only the 2022 elections for Senate districts. To account for this limited sample size, the contingency was increased from .1 to.2 of the average turnout. So, win numbers were calculated as: (AVG Turnout from democratic Primaries 2022-2024 /2) +.2*(Avg Turnout from democratic primaries 2022-2024/2)</t>
  </si>
  <si>
    <t>Voters Under 35</t>
  </si>
  <si>
    <t>ʻVoters under 35ʻ was calculated by subtracting the ACS sum of individuals over 35 from the ACS figure "Citizen, 18 and Over Population". While a useful metric, this figure is untrustworthy in districts with high proportions of non-citizens, as the proportion of individals aged 35 to 85+ who are not citizens becomes too high to draw accurate conclusions about the percentage of voters under 35</t>
  </si>
  <si>
    <t>People Making under 100k</t>
  </si>
  <si>
    <t>Again, given the lack of data on how many individuals accounted for in this figure are citizens, this should be seen as a guidepost metric rather than a definitive account. This figure was achieved by adding the ACS  income ranges from table S1901, "Income in the past 12 months" under 100K (which come in the format "% of households"), and then multiplying the percentage by the total population of the district</t>
  </si>
  <si>
    <t xml:space="preserve">
Hawaiians</t>
  </si>
  <si>
    <t>ACS figure for "Hawaiians" in Table DP05, "Demographic and Housing Estimates"</t>
  </si>
  <si>
    <t>Fertility for ʻĀina Votes</t>
  </si>
  <si>
    <t>On a scale of 1-5, this is my decision on how receptive a district is to the message of ʻāina votes based on itʻs prevalance of young people, Income distribution, and percentage of Hawaiians. Districts rated the highest will have more young people than other age categories, though when districts have many 5-15 year olds and 35-35 year olds, I identify that as a high proportion of families in the area, which is also sympathetic to ʻĀina Votes. While I am firm in the indicators which signal receptivity to ʻāina votes, assigning the score is not an exact Science</t>
  </si>
  <si>
    <t>Impact if Won</t>
  </si>
  <si>
    <t xml:space="preserve">This is my personal opinion on how impactful it would be to replace a given incumbent with a progressive candidate, on a scale of 1-5. I make these assignments based on my understanding of the political ecosystem from three sessions in the building, supplemented by the bills a legislator has introduced and how many of them passed. </t>
  </si>
  <si>
    <t>Impact + Fertility</t>
  </si>
  <si>
    <t>A sum of the above scores. Districts that ranked above 7-8 were considered as priority districts to contest in 2026. Other considerations such as whether candidates have publicly announced their candidacy were considered in selecting districts</t>
  </si>
  <si>
    <t>Turnout</t>
  </si>
  <si>
    <t>District</t>
  </si>
  <si>
    <t>Name</t>
  </si>
  <si>
    <t>Up In 2026</t>
  </si>
  <si>
    <t>Fertility for ʻāina votes (1-5)</t>
  </si>
  <si>
    <t>Notes</t>
  </si>
  <si>
    <t>Impact if Won (1-5)</t>
  </si>
  <si>
    <t>Fertility + Impact</t>
  </si>
  <si>
    <t>Progressive, Establishment, Would follow Progressives, Would Follow Establishment, or Unclear</t>
  </si>
  <si>
    <t>State Representative, Dist 13</t>
  </si>
  <si>
    <t>Poepoe</t>
  </si>
  <si>
    <t>Y</t>
  </si>
  <si>
    <t>All the right metrics</t>
  </si>
  <si>
    <t>Wants to be a progressive but is scared, would side with us</t>
  </si>
  <si>
    <t>FP</t>
  </si>
  <si>
    <t>State Representative, Dist 3</t>
  </si>
  <si>
    <t>Todd</t>
  </si>
  <si>
    <t>HD3 has an extremely skewed income distribution, with those making under 50k accounting for nearly 40% of the district. Furthermore, it has a high concentration of Hawaiians. While the age distribution is not as dramatically skewed towards younger voters as some other districts, there are enough young people to exceed the win number of the district. Furthermore, Kuʻulei has already demonstrated the viability of this district for an ʻāina-based, anti-establishment message during her run last year.</t>
  </si>
  <si>
    <t>Taking out sitting FIN chair sends a message</t>
  </si>
  <si>
    <t>E</t>
  </si>
  <si>
    <t>State Representative, Dist 32</t>
  </si>
  <si>
    <t>Garner</t>
  </si>
  <si>
    <t xml:space="preserve">Great age, income, and ethnicity distribution. District 3 levels of receptiveness to the message. </t>
  </si>
  <si>
    <t>powerless but very oluʻolu and open to changing his opinions. Would likely side progressive over the establishment</t>
  </si>
  <si>
    <t>State Representative, Dist 42</t>
  </si>
  <si>
    <t>Garcia</t>
  </si>
  <si>
    <t>Plenty Hawaiians, Plenty young people, plenty in the income range</t>
  </si>
  <si>
    <t>Same as Alcos, though a little less crazy. More susceptible to democratic challenge too, the gap was only around 800 votes in 2024</t>
  </si>
  <si>
    <t>U</t>
  </si>
  <si>
    <t>State Representative, Dist 44</t>
  </si>
  <si>
    <t>Kila</t>
  </si>
  <si>
    <t xml:space="preserve">HD 44 has one of the highest proportions of Hawaiians in a District out of all the islands. The age distribution peaks at  25-35 year olds, and has a huge proportion of 5-15 year olds, signalling the presence of many families. The Income Distribution is also heavily skewed towards the lower ends, particularly households making under 150$. </t>
  </si>
  <si>
    <t>Popular Native Hawaiian leader, popular with Local 5 as well. May join progressive coalition under more pressure from the district and with more progressives in the legislature</t>
  </si>
  <si>
    <t>State Representative, Dist 45</t>
  </si>
  <si>
    <t>Muraoka</t>
  </si>
  <si>
    <t xml:space="preserve">Most Hawaiians in a district Iʻve seen yet. Lots of young people and lots of hawaiian people as well. Muraoka seems pretty popular with some folks, but Desoto has a good chance if she runs again </t>
  </si>
  <si>
    <t>Muraoka does not have power, is pretty progressive, and seems to be tied into the community. His bills in 2025 were all real things, not transphobic sillyness. He would likely come on board with progressives.</t>
  </si>
  <si>
    <t>State Representative, Dist 46</t>
  </si>
  <si>
    <t>Perusso</t>
  </si>
  <si>
    <t>Good on all the right metrics</t>
  </si>
  <si>
    <t>Progressive</t>
  </si>
  <si>
    <t>P</t>
  </si>
  <si>
    <t>State Representative, Dist 47</t>
  </si>
  <si>
    <t>Quinlan</t>
  </si>
  <si>
    <t>While HD 47 lacks a high concentration of Hawaiians, it has a remarkably well-matched age distribution, with 15-25 year olds composing a larger proportion than 65-85+ combined. The income distribution peaks at 50-100 thousand, with that group making up 33% of the total</t>
  </si>
  <si>
    <t xml:space="preserve">Majority leader and frat boy extrordinaire- we would definetly be sending a message getting him out of there. </t>
  </si>
  <si>
    <t>State Senator, Dist 2</t>
  </si>
  <si>
    <t>San Buenaventura</t>
  </si>
  <si>
    <t>SD2 is extremely low-income, with those making under 100k totaling 73% of the district. There are relatively few folks aged 25-35, but there are many 5-15 year olds and 35-45 year olds, suggesting many local families. Ethnically, Hawaiians are the third most represented group after White people and Filipinos</t>
  </si>
  <si>
    <t xml:space="preserve">Not a huge power player, but a pain in the ass and likes to kill good bills- would be wonderful to get rid of her. Sheʻs also been around so long that getting rid would be a message to the establishment. </t>
  </si>
  <si>
    <t>State Senator, Dist 21</t>
  </si>
  <si>
    <t>Gabbard</t>
  </si>
  <si>
    <t>Lots of young families, lots of Hawaiians. Interesting but workable income spread.</t>
  </si>
  <si>
    <t xml:space="preserve">Introduced 138 Bills?! Passed six of them, has introduced some Vaugely progressive farm-to-school stuff. Haven't heard of him as a major obstacle for good legislation. </t>
  </si>
  <si>
    <t>State Senator, Dist 5</t>
  </si>
  <si>
    <t>Hashimoto</t>
  </si>
  <si>
    <t xml:space="preserve">SD5 is receptive to ʻāina votes. The age distribution suggests the presence of many local families. Hawaiians are nearly tied with Japanese voters as the third most represented ethnicity (after Filipinos and White people), and households making under 100k are roughly half of the district. </t>
  </si>
  <si>
    <t>Aspiring power player, lets nip that in the bud. Got CHOKE stuff passed. Actually seems to be introducing helpful stuff for housing and DHHL stuff. Need more data on him</t>
  </si>
  <si>
    <t>Progressives</t>
  </si>
  <si>
    <t>State Representative, Dist 12</t>
  </si>
  <si>
    <t>Yamashita</t>
  </si>
  <si>
    <t xml:space="preserve">Young people are comparatively outnumbered by older people, but there are still a substantial amount of them. Ethnicity is primarily white and Hawaiian, which works for us. the income distribution is also favorable, with just under 50% of household making under 50K. </t>
  </si>
  <si>
    <t>Now disgraced finance chair, but still has some clout. It would be good to remove him before his power re-grows</t>
  </si>
  <si>
    <t>State Representative, Dist 14</t>
  </si>
  <si>
    <t>Cochran</t>
  </si>
  <si>
    <t>Metrics are good as well. A lot of low income folks</t>
  </si>
  <si>
    <t xml:space="preserve">Progressive, absentee but would likely show up more with the right people. </t>
  </si>
  <si>
    <t>State Representative, Dist 16</t>
  </si>
  <si>
    <t>Evslin</t>
  </si>
  <si>
    <t>Plenty low low-income people and just enough young people to be more than the win number. Some hawiians but mostly white, then Filipino and Japanese. 20% blank votes</t>
  </si>
  <si>
    <t>Would probably side with the establishment against progressives if it got close. Medium-light power player, Vulnerable to attack for being the Housing chair while housing is so shitty. Also a zionist</t>
  </si>
  <si>
    <t>State Representative, Dist 22</t>
  </si>
  <si>
    <t>Tokuya-Garret</t>
  </si>
  <si>
    <t>A lot of young people, few hawaiians, wealthy side but still plenty that must be struggling. 23% blank vote, mostly white and Japanese</t>
  </si>
  <si>
    <t>Not much power, moderate bill package. Not much of a player to get rid of, but could be a good seat to grab. Gut says he would side corporate, but need more info</t>
  </si>
  <si>
    <t>State Representative, Dist 23</t>
  </si>
  <si>
    <t>Olds</t>
  </si>
  <si>
    <t>Choooke young people and extremely low-income. Data Screwy because plenty immigrants</t>
  </si>
  <si>
    <t>Anti-homeless bills but seems like not strongly ideological. May choose progressives over corporatists, more data is needed</t>
  </si>
  <si>
    <t>State Representative, Dist 24</t>
  </si>
  <si>
    <t>Tam</t>
  </si>
  <si>
    <t>My data is likely screwy here, he has loads of young people but the citizens under 35 number is really small.</t>
  </si>
  <si>
    <t>Not much power, would likely lean corporate if forced to pick. Has proven to be untrustworthyuntrustworthy</t>
  </si>
  <si>
    <t>State Representative, Dist 26</t>
  </si>
  <si>
    <t>Belatti</t>
  </si>
  <si>
    <t xml:space="preserve">Low income district with lots of young people and some hawaiians. </t>
  </si>
  <si>
    <t>Janelle Fujinaka running against her. IDK Janelle looks pretty centrist from what I can see, would like to talk more with her. Della is a progressive for now but I donʻt really trust her and sheʻs still not great on jails and cop cities. Not a target for 2026 but if we get more people elected in 2026 and sheʻs being counter-productive we can have someone go after her in 2028</t>
  </si>
  <si>
    <t>State Representative, Dist 30</t>
  </si>
  <si>
    <t>Templo</t>
  </si>
  <si>
    <t xml:space="preserve">Lots of young people, low income, good amnt hawaiians. </t>
  </si>
  <si>
    <t>Templo does not have any clout, would likely side with us if we could pose a threat (if we were nice to her.) I heard that everyone in the establishment posse was mean to her abt her weight.</t>
  </si>
  <si>
    <t>State Representative, Dist 35</t>
  </si>
  <si>
    <t>Chun</t>
  </si>
  <si>
    <t xml:space="preserve">Lots of young people, LOTs of filipinos, good income distribution. </t>
  </si>
  <si>
    <t>I dont know his place in the ecosystem. From his bills introduced and passed in 2025, I would say heʻs not a power player and might lean progressive on some issues</t>
  </si>
  <si>
    <t>State Representative, Dist 39</t>
  </si>
  <si>
    <t>Pierick</t>
  </si>
  <si>
    <t xml:space="preserve">A LOT of young people. Income distribution OK, A LOT of filipinos. </t>
  </si>
  <si>
    <t>Pierick Just sucks, and Rosenlee got so close last time. Not a race to put a ton of effort into bc rosenlee is more moderate, but we can cheer him on and go doorknock if he really needs it</t>
  </si>
  <si>
    <t>State Representative, Dist 4</t>
  </si>
  <si>
    <t>Illagan</t>
  </si>
  <si>
    <t xml:space="preserve">Similar to HD 15, HD4 has a very strong income and ethnic distribution, with relatively low numbers of voters 18-35. Similar to HD15, I think the weakness in Age distribution can be overcome by the income and ethnic distribution. </t>
  </si>
  <si>
    <t>Solid amount of Power, old vice speaker and very much part of the establishment. Would not join with progressives</t>
  </si>
  <si>
    <t>State Representative, Dist 5</t>
  </si>
  <si>
    <t>Kapela</t>
  </si>
  <si>
    <t>Super low income, just enough young people to be over the win number. Limited Hawaiians but a lot of white folks</t>
  </si>
  <si>
    <t xml:space="preserve">Progressive enough she would follow the center. </t>
  </si>
  <si>
    <t>State Representative, Dist 51</t>
  </si>
  <si>
    <t>Marten</t>
  </si>
  <si>
    <t>A lot of Hawaiians and young people, though possibly the richest district Iʻve seen so far</t>
  </si>
  <si>
    <t>fake haole progressive- leans left but not really down for ʻĀina or Hawaiians, minimal power in current system</t>
  </si>
  <si>
    <t>State Representative, Dist 7</t>
  </si>
  <si>
    <t>Lowen</t>
  </si>
  <si>
    <t>Plenty Young and low income people, pretty high blank votes. Super petty so has enemies in the building too. Leans progressive, but her personality makes her someone we dont want in coalition</t>
  </si>
  <si>
    <t>People already donʻt like her very much, Marginal Character. May join progressives for environmental reasons, but might not out of spite</t>
  </si>
  <si>
    <t>FE</t>
  </si>
  <si>
    <t>State Representative, Dist 9</t>
  </si>
  <si>
    <t>Woodson</t>
  </si>
  <si>
    <t>Something weird going on with the data, his district probably has a lot of non-citizens.</t>
  </si>
  <si>
    <t>Very little power got close to nothing passed. Vauglley progressive introductions in the EDU shphere, I think he would come on side</t>
  </si>
  <si>
    <t>State Senator, Dist 11</t>
  </si>
  <si>
    <t>Fukunga</t>
  </si>
  <si>
    <t xml:space="preserve">Young, mostly white and Japanese ditrict. Low income as well, medium fertility, </t>
  </si>
  <si>
    <t>I donʻt really know Fukungas place in everything, but none of her bills got past their second committee :/ Canʻt be that powerful. Her name hasnt really come up on peoples shit list either</t>
  </si>
  <si>
    <t>Fence-Sitters</t>
  </si>
  <si>
    <t>State Senator, Dist 14</t>
  </si>
  <si>
    <t>Mercado-Kim</t>
  </si>
  <si>
    <t>SD14 has very high numbers of Filipinos, followed by a tie between Japanese and Hawaiians. The age distribution is favorable, being very centered on 25-25. Those making under 100k are roughly equal to 50% of the population</t>
  </si>
  <si>
    <t>Kim is a major roadblock for a lot of good intitatives around education, as well as a huge pain in the ass to work with. Similar tier to JSB but a few rungs up in both influence and nastiness</t>
  </si>
  <si>
    <t>State Senator, Dist 15</t>
  </si>
  <si>
    <t>Wakai</t>
  </si>
  <si>
    <t>SUPER fertile age spread, income good as well. Ethnicity mostly white and filipino</t>
  </si>
  <si>
    <t>He passed some bills so has some influence. No progressive introductions but decent liberal ones... Hasnʻt been a huge blocker of progressive legislation as far as I know</t>
  </si>
  <si>
    <t>State Representative, Dist 31</t>
  </si>
  <si>
    <t>Ichiyama</t>
  </si>
  <si>
    <t>HD 31 has a very receptive age and income distribution. Though it lacks a high native Hawaiian population, Ichiyamaʻs status as vice speaker makes her an appealing target. The ethnic demography shows a majority of white residents, indicating that Ichiyamaʻs Japanese ancestry may be a surmountable barrier. It should also be noted that because of two large military bases in her district, the numbers may be skewed and an ʻāina focused message may fail to land. Worth a shot?</t>
  </si>
  <si>
    <t xml:space="preserve">Vice speaker, also midwife bill killer. A lot of enthusiasm from hawaiian community would come to get her out of office. Eliminating vice speaker would send a message </t>
  </si>
  <si>
    <t>State Senator, Dist 8</t>
  </si>
  <si>
    <t>Kouchi</t>
  </si>
  <si>
    <t>Most people make 50-100K, solid block of 200K+ though. White, Filipino, Japanese, Hawaiian in that order. Medium distribution of young people</t>
  </si>
  <si>
    <t xml:space="preserve">Senate President, presiding over status quo. What I can tell though heʻs not super vindictive and generally well-liked. Might be a tougher target that ends up diluting our message. We also donʻt really have a shot at getting the numbers needed to pick a new prez this cycle, so whoever comes after might be worse. </t>
  </si>
  <si>
    <t>Establishment</t>
  </si>
  <si>
    <t>State Representative, Dist 1</t>
  </si>
  <si>
    <t>Kusch</t>
  </si>
  <si>
    <t>Lots of low income but not many young people or Hawaiians</t>
  </si>
  <si>
    <t>No power yet, would likely join progressives. Nothingburger bill package, got one passed</t>
  </si>
  <si>
    <t>State Representative, Dist 10</t>
  </si>
  <si>
    <t>Miyake</t>
  </si>
  <si>
    <t>Not many young voters, but a lot of families- who our message would also likely resonate with. A lot  of Hawaiians and a good income spread. District also heavily japanese, and low blank votes. Heʻs so friendly and new may also be tough to tag him as estabishemnt</t>
  </si>
  <si>
    <t>medium-weight, as best I can guess.. Passed three bills and is a majority whip and vice chair, so some power. At least not in the doghouse. Gut says he would side with the corporates but need more data points</t>
  </si>
  <si>
    <t>State Representative, Dist 15</t>
  </si>
  <si>
    <t>Nakamura</t>
  </si>
  <si>
    <t>HD 15 has a strongly receptive income spread, with 30% making 50-100k. While there are relatively fewer individuals under 35, there are many 5-15 year olds, indicating a lot of local families. Further, there are more native Hawaiians than Japanese residents of the district, and 3 more white residents than either of those demographics. Given the presence of Native Hawaiians and a strongly receptive income spread, the comparatively low numbers of young voters can be overlooked</t>
  </si>
  <si>
    <t>Speaker of the house, would be huge</t>
  </si>
  <si>
    <t>State Representative, Dist 17</t>
  </si>
  <si>
    <t>Morikawa</t>
  </si>
  <si>
    <t xml:space="preserve">Decent young people numbers and good economic distribution. </t>
  </si>
  <si>
    <t xml:space="preserve">I think she would come over to the progressives. At least, kind of a nothingburger; she only introduced four bills in 2025. She was ashamed of the maneuver to kill the weed bill and didnt know it was coming, saying she probably isnt in power </t>
  </si>
  <si>
    <t>State Representative, Dist 2</t>
  </si>
  <si>
    <t>Lee Loy</t>
  </si>
  <si>
    <t xml:space="preserve">Some young folks and A LOT of low-income people. </t>
  </si>
  <si>
    <t xml:space="preserve">Donʻt think she would follow progressives, and seems to be very welcomed by the establishment already. Newbie, so little power in current system. </t>
  </si>
  <si>
    <t>State Representative, Dist 21</t>
  </si>
  <si>
    <t>Sayama</t>
  </si>
  <si>
    <t>Pretty wealthy, but lots of young people! Few hawaiians</t>
  </si>
  <si>
    <t xml:space="preserve">Chair of Labor, but other than that not much power. Would probably side progressive should the power shift, based on his bill package. </t>
  </si>
  <si>
    <t>State Representative, Dist 25</t>
  </si>
  <si>
    <t>Iwamoto</t>
  </si>
  <si>
    <t>Few families, few native hawaiians, some young people but a lot of low-income folks. Likely a lot of non-citizens as well.</t>
  </si>
  <si>
    <t>State Representative, Dist 27</t>
  </si>
  <si>
    <t>Takenouchi</t>
  </si>
  <si>
    <t xml:space="preserve">Mixed income, some young people, few hawaiians mostly japanese. Low blank votes number. </t>
  </si>
  <si>
    <t>Vice chair of finance, looks like an up-and-comer. I donʻt know too much about her but guess she would side with the establishment if it got close.</t>
  </si>
  <si>
    <t>State Representative, Dist 28</t>
  </si>
  <si>
    <t>Holt</t>
  </si>
  <si>
    <t>Data is screwy bc of immigrants, tough to say. Very low income though and a lot of young people</t>
  </si>
  <si>
    <t>Holt is increasingly part of the establishment with his frat bros. Taking him out would send a message, plus I think its unlikely he ever sides with progressives. Could be wrong here tho donʻt know him that well.</t>
  </si>
  <si>
    <t>State Representative, Dist 29</t>
  </si>
  <si>
    <t>Hussey</t>
  </si>
  <si>
    <t xml:space="preserve">Not many hawaiians but a lot of young people and low income folks. Also a lot of HIGH income folks though. </t>
  </si>
  <si>
    <t xml:space="preserve">Progressive
</t>
  </si>
  <si>
    <t>State Representative, Dist 34</t>
  </si>
  <si>
    <t>Takayama</t>
  </si>
  <si>
    <t>I donʻt know too much about him unfortunately. I donʻt think he would join progressives for most issues though. Heʻs chair of health, but other than that no sense of how much power/clout he has. If anything, heʻs been around a long time so taking him out would send a message that there is a change of the gaurd underway</t>
  </si>
  <si>
    <t>State Representative, Dist 38</t>
  </si>
  <si>
    <t>Matsumoto</t>
  </si>
  <si>
    <t xml:space="preserve">Some young people but a lot of wealthy folks, very few hawaiians and mostly Japanese. </t>
  </si>
  <si>
    <t>Matsumoto doesnt have much power, and would likely swing to us based on the blills she has introduced in 2025</t>
  </si>
  <si>
    <t>State Representative, Dist 40</t>
  </si>
  <si>
    <t>Reyes Oda</t>
  </si>
  <si>
    <t>No power and will likely join progressives based on bills introduced</t>
  </si>
  <si>
    <t>State Representative, Dist 41</t>
  </si>
  <si>
    <t>Alcos</t>
  </si>
  <si>
    <t>Enough young people but not many Hawaiians, and more upper income. the republicans in this area might be more trumpy than in others, which could be challenging- though also a good test at whether we can convert these folks through community and ʻāina- or at least distract them</t>
  </si>
  <si>
    <t xml:space="preserve">No power but his package is full of transphobic nonsense and poorly thought-through bills. Not  likely to join in coalition with progressives becaue of bigotry, but maybe. Perhaps a 2028 thing. Not very vulnerable to attack from a democrat. Medium high blank votes and a super low win number for the republican primary (800), so could be worth a shot. </t>
  </si>
  <si>
    <t>State Representative, Dist 43</t>
  </si>
  <si>
    <t>Souza</t>
  </si>
  <si>
    <t xml:space="preserve">Good age range, a lot of families. Not very many hawaiians, decent income spread. </t>
  </si>
  <si>
    <t>Kind of progressive, not much vision in her introuctions. Would likely join coalition with progressives against establishment</t>
  </si>
  <si>
    <t>State Representative, Dist 48</t>
  </si>
  <si>
    <t>Kitagawa</t>
  </si>
  <si>
    <t>A good amount of families, few hawaiians, and a lot of wealthy people. Low blank votes in 2024</t>
  </si>
  <si>
    <t>Behind the scenes, but was budget lady extraordinaire for Yamashita. Idk if she gets to keep that post this year. Definetly an establishment figure.</t>
  </si>
  <si>
    <t>State Representative, Dist 8</t>
  </si>
  <si>
    <t>Tarnas</t>
  </si>
  <si>
    <t>Low income spread, Not many young people. As an establishment politican though he would be open to attack</t>
  </si>
  <si>
    <t>From what Iʻve heard of Tarnas, I actually think he would follow progressives. He seems to have a pretty weak personality, mostly following the leader. Heʻs also dealt with a lot of shit from leadership, so he might be ready to join us. Also cares a great deal about the weed bill, which we could help with</t>
  </si>
  <si>
    <t>State Senator, Dist 10</t>
  </si>
  <si>
    <t>Ihara</t>
  </si>
  <si>
    <t>Really good age distribution, Mostly white and japanese, income distribution low with some 200k+</t>
  </si>
  <si>
    <t>Introduced some clean elections stuff, donated to Natalia... I think fair to say that he shouldnʻt be a priority. Donʻt have a sense of his general power in the senate</t>
  </si>
  <si>
    <t>Would Follow Establishment</t>
  </si>
  <si>
    <t>State Senator, Dist 13</t>
  </si>
  <si>
    <t>Rhoads</t>
  </si>
  <si>
    <t xml:space="preserve">Income distribution good, age and ethnicity not as much. </t>
  </si>
  <si>
    <t>Considered to be fair minded, and generally progressive. Also competent and technocratic, which we will need. I donʻt think its his time</t>
  </si>
  <si>
    <t>State Senator, Dist 17</t>
  </si>
  <si>
    <t>De La Cruz</t>
  </si>
  <si>
    <t>SD17 has a large number of people aged 25-35, as well as 5-15, indicating the presence of many local families. While 22% of households make over 200k, 40% make under 100k. The dominant ethnicities are Filipino and Japanese, with the runner-up being white. While this district is not an incredibly strong match for ʻĀina Votes, neither is it prohibitive. Because a challenger has already emerged, I believe it is worthwhile to overlook the relative weakness of the districts and support her.</t>
  </si>
  <si>
    <t>Regressive, entrenched WAM Chair- nuff said</t>
  </si>
  <si>
    <t>State Senator, Dist 20</t>
  </si>
  <si>
    <t>Favella</t>
  </si>
  <si>
    <t xml:space="preserve">Good age spread, poor income spread, district overwhelmingly filipino. </t>
  </si>
  <si>
    <t>Aboslutely zero power (or idea whatʻs going on, poor buddy), and likely to follow progressive leadership when it comes along</t>
  </si>
  <si>
    <t>State Representative, Dist 49</t>
  </si>
  <si>
    <t>Matayoshi</t>
  </si>
  <si>
    <t>Enough young people, few hawaiians and relatively few low income people. His role in the establishement makes him vulnerable, but the numbers arenʻt the most resonant for our message. Low blank votes in his last few races as well</t>
  </si>
  <si>
    <t>CPC chair, moderate to heavyweight in the current order. Definetly wonʻt side with progressives if it comes down to it</t>
  </si>
  <si>
    <t>State Representative, Dist 11</t>
  </si>
  <si>
    <t>Terez</t>
  </si>
  <si>
    <t>Older district, all white people, lower income</t>
  </si>
  <si>
    <t xml:space="preserve">Wants to be a progressive, would definetly side with us </t>
  </si>
  <si>
    <t>State Representative, Dist 20</t>
  </si>
  <si>
    <t>Grandinetti</t>
  </si>
  <si>
    <t>State Representative, Dist 33</t>
  </si>
  <si>
    <t>Kong</t>
  </si>
  <si>
    <t>Not very hospitible</t>
  </si>
  <si>
    <t>I doubt he would ever join our side, but heʻs checked out already. Not really a power player</t>
  </si>
  <si>
    <t>State Representative, Dist 36</t>
  </si>
  <si>
    <t>Lamosao</t>
  </si>
  <si>
    <t>Young people and decent income distribution, but the district is the highest concentration of Filipinoʻs Iʻve ever seen. She has low blank votes as well. Does not seem very vulnerable unless a talented filipino politican emerges</t>
  </si>
  <si>
    <t>Passed nothing, and introduced some progressive-leaning bills. Might side with progressives? Need more data</t>
  </si>
  <si>
    <t>State Representative, Dist 37</t>
  </si>
  <si>
    <t>La Chica</t>
  </si>
  <si>
    <t>Not many young people, high win number, decent economic profile. Progressive enough that the message doesnt resonate well against her</t>
  </si>
  <si>
    <t>Trish is likely to join progressives if we get more power, and doesnt have that much under the current system</t>
  </si>
  <si>
    <t>State Representative, Dist 50</t>
  </si>
  <si>
    <t>Lee</t>
  </si>
  <si>
    <t>ExtREMELY white- they werenʻt joking about Kailua lol. Lots of young people but the other demographics donʻt look too good for our message. Mike is new as well so harder to pin him as part of the establishment</t>
  </si>
  <si>
    <t>No power yet despite being the show horse to kick out Natalia. Medium-progressive from what I can tell, and it also seems his heart wasnʻt really in being evil from the times we met at the capitol. Natalia once said that he was just doing it bc a friend suggested it- silly, but also implies no strong convictions/ incentives, and that he may side with us</t>
  </si>
  <si>
    <t>State Representative, Dist 6</t>
  </si>
  <si>
    <t>Kahaloa</t>
  </si>
  <si>
    <t>Low income plenty, and 22% blank votes. More white folks than hawaiians so maybe that card for her to play wont matter as much? Not the youngest district either</t>
  </si>
  <si>
    <t>Not a huge power player but has some and has used it to frustrate ʻāina people and promote pesticides already. Would likely side with the corporates.</t>
  </si>
  <si>
    <t>State Senator, Dist 25</t>
  </si>
  <si>
    <t>there are more making over 200k than there are making 0-100k. Craziest income distribution Iʻve seen. A lot of older families, and almost totally white people.</t>
  </si>
  <si>
    <t>Would be doing Lee a favor honestly, this man just wants to retire and talk to his 24 year old girlfriend. Jokes aside, not much of a heavyweight or a killer of good bills</t>
  </si>
  <si>
    <t>State Senator, Dist 9</t>
  </si>
  <si>
    <t>Chang</t>
  </si>
  <si>
    <t>Pretty Wealthy, older district without many Hawaiians.</t>
  </si>
  <si>
    <t xml:space="preserve">Regarded nearly universally as a joke by his colleagues and other serious actors. he can block good housing stuff if not under serious pressure, but not the type to take positive action. </t>
  </si>
  <si>
    <t>Would Follow Progressives</t>
  </si>
  <si>
    <t>State Representative, Dist 19</t>
  </si>
  <si>
    <t>Hashem</t>
  </si>
  <si>
    <t>Very unfortunatley one of the least hospitible districts for ʻāina votes that Iʻve seen. He does have high blank votes though at least</t>
  </si>
  <si>
    <t xml:space="preserve">Likely will NOT come over to the progressives. But not much of a player in the current setup either. </t>
  </si>
  <si>
    <t>State Representative, Dist 18</t>
  </si>
  <si>
    <t>Gedeon</t>
  </si>
  <si>
    <t>Kaiser, Tech School, works with Ad board. not very likely to be progressive</t>
  </si>
  <si>
    <t>Average:</t>
  </si>
  <si>
    <t>Unclear</t>
  </si>
  <si>
    <t>Current Majority: (Establishment+ Would follow Establishmnt + Unclear)</t>
  </si>
  <si>
    <t>Potential Majority: (Progressives + Would Follow Progressives)</t>
  </si>
  <si>
    <t>Majority:</t>
  </si>
  <si>
    <t>State Senator Win Numbers</t>
  </si>
  <si>
    <t>State Senator, Dist 24</t>
  </si>
  <si>
    <t>Keohokalole</t>
  </si>
  <si>
    <t>N</t>
  </si>
  <si>
    <t>State Senator, Dist 1</t>
  </si>
  <si>
    <t>Inouye</t>
  </si>
  <si>
    <t>State Senator, Dist 3</t>
  </si>
  <si>
    <t>Kanuha</t>
  </si>
  <si>
    <t>State Senator, Dist 4</t>
  </si>
  <si>
    <t>Richards</t>
  </si>
  <si>
    <t>State Senator, Dist 6</t>
  </si>
  <si>
    <t>McKelvey</t>
  </si>
  <si>
    <t>State Senator, Dist 7</t>
  </si>
  <si>
    <t>Decoite</t>
  </si>
  <si>
    <t>State Senator, Dist 12</t>
  </si>
  <si>
    <t>Moriwaki</t>
  </si>
  <si>
    <t>State Senator, Dist 16</t>
  </si>
  <si>
    <t>Elefante</t>
  </si>
  <si>
    <t>State Senator, Dist 18</t>
  </si>
  <si>
    <t>Kidani</t>
  </si>
  <si>
    <t>State Senator, Dist 19</t>
  </si>
  <si>
    <t>Aquino</t>
  </si>
  <si>
    <t>State Senator, Dist 22</t>
  </si>
  <si>
    <t>Decorte</t>
  </si>
  <si>
    <t>State Senator, Dist 23</t>
  </si>
  <si>
    <t>Awa</t>
  </si>
  <si>
    <t>Impact+Fertility</t>
  </si>
  <si>
    <t>Progressive, Establishment, Would follow Progressives, Progressive Republican, or Unclear</t>
  </si>
  <si>
    <t>Keawekane</t>
  </si>
  <si>
    <t>?</t>
  </si>
  <si>
    <t>Up and coming faction leader, according to folks at HAPA. Taking him out along with Todd and Quinlan and (maybe!) Nadine would signify that there really is no game in town but the ʻāina progressives. Likely would not join progressive coalition</t>
  </si>
  <si>
    <t>Tokya-Garret</t>
  </si>
  <si>
    <t>Rosenlee</t>
  </si>
  <si>
    <t>Shimizu</t>
  </si>
  <si>
    <t>FPR</t>
  </si>
  <si>
    <t>Left Leaning Establishment</t>
  </si>
  <si>
    <t>Progressive Republican</t>
  </si>
  <si>
    <t>Establishment Count: (Establishment + Unclear*2/3)</t>
  </si>
  <si>
    <t>Progressive Count: (Progressives + Would Follow Progressives + Unclear*1/3)</t>
  </si>
  <si>
    <t>2024 Primary</t>
  </si>
  <si>
    <t>Age</t>
  </si>
  <si>
    <t>5 to 15</t>
  </si>
  <si>
    <t>2024 Primary (Democratic)</t>
  </si>
  <si>
    <t>15 to 25</t>
  </si>
  <si>
    <t>Candidate/Vote Type</t>
  </si>
  <si>
    <t>Votes</t>
  </si>
  <si>
    <t>25 to 35</t>
  </si>
  <si>
    <t>INOUYE, Lorraine Rodero</t>
  </si>
  <si>
    <t>35 to 45</t>
  </si>
  <si>
    <t>ACASIO, Laura</t>
  </si>
  <si>
    <t>45 to 55</t>
  </si>
  <si>
    <t>Total Blank Votes</t>
  </si>
  <si>
    <t>55 to 65</t>
  </si>
  <si>
    <t>Total Invalid Votes</t>
  </si>
  <si>
    <t>65 to 75</t>
  </si>
  <si>
    <t>75 to 85</t>
  </si>
  <si>
    <t xml:space="preserve"> 85+</t>
  </si>
  <si>
    <t>2022 Primary</t>
  </si>
  <si>
    <t>Ethnicity</t>
  </si>
  <si>
    <t>2022 Primary (Republican)</t>
  </si>
  <si>
    <t>            White</t>
  </si>
  <si>
    <t>            Black or African American</t>
  </si>
  <si>
    <t>TUPAI, Helen C.</t>
  </si>
  <si>
    <t>            American Indian and Alaska Native</t>
  </si>
  <si>
    <t>                Asian Indian</t>
  </si>
  <si>
    <t>                Chinese</t>
  </si>
  <si>
    <t>                Filipino</t>
  </si>
  <si>
    <t>                Japanese</t>
  </si>
  <si>
    <t>                Korean</t>
  </si>
  <si>
    <t>2022 Primary (Democratic)</t>
  </si>
  <si>
    <t>                Vietnamese</t>
  </si>
  <si>
    <t>                Other Asian</t>
  </si>
  <si>
    <t>                Chamorro</t>
  </si>
  <si>
    <t>                Native Hawaiian</t>
  </si>
  <si>
    <t>OKABE, Wil</t>
  </si>
  <si>
    <t>                Samoan</t>
  </si>
  <si>
    <t>                Other Native Hawaiian and Other Pacific Islander</t>
  </si>
  <si>
    <t>            Some Other Race</t>
  </si>
  <si>
    <t>            White and Black or African American</t>
  </si>
  <si>
    <t>            White and American Indian and Alaska Native</t>
  </si>
  <si>
    <t>            White and Asian</t>
  </si>
  <si>
    <t>            White and Some Other Race</t>
  </si>
  <si>
    <t>            Black or African American and American Indian and Alaska Native</t>
  </si>
  <si>
    <t>            Black or African American and Some Other Race</t>
  </si>
  <si>
    <t>Income</t>
  </si>
  <si>
    <t>0 to $50,000</t>
  </si>
  <si>
    <t>$50,000 to $100,000</t>
  </si>
  <si>
    <t>$100,000 to $150,000</t>
  </si>
  <si>
    <t>$150,000 to $200,000</t>
  </si>
  <si>
    <t>$200,000 +</t>
  </si>
  <si>
    <t>No data available for this contest</t>
  </si>
  <si>
    <t>SAN BUENAVENTURA, Joy</t>
  </si>
  <si>
    <t>2024 Primary (Republican)</t>
  </si>
  <si>
    <t>SULLIVAN, Kurt (Sulli)</t>
  </si>
  <si>
    <t>KANUHA, Dru Mamo</t>
  </si>
  <si>
    <t>RICHARDS, Herbert (Tim)</t>
  </si>
  <si>
    <t>TANCHEFF, Nicholas M.</t>
  </si>
  <si>
    <t>HASHIMOTO, Troy N.</t>
  </si>
  <si>
    <t>WALKER, Sheila</t>
  </si>
  <si>
    <t>MCKELVEY, Angus L.K.</t>
  </si>
  <si>
    <t>2022 Primary (Green)</t>
  </si>
  <si>
    <t>SHISHIDO, Melissah (Mish)</t>
  </si>
  <si>
    <t>RAYA, Philip A.</t>
  </si>
  <si>
    <t>MCKELVEY, Angus L.K. (Mac)</t>
  </si>
  <si>
    <t>FORSYTH, Shaina</t>
  </si>
  <si>
    <t>GOEBBERT, Tamara I. (Mara)</t>
  </si>
  <si>
    <t>MACARAEG, Gabby</t>
  </si>
  <si>
    <t>DECOITE, Lynn Pualani</t>
  </si>
  <si>
    <t>MCKAY, Tamara</t>
  </si>
  <si>
    <t>RITTE, Walter</t>
  </si>
  <si>
    <t>CAIRES, Leo Kaniela</t>
  </si>
  <si>
    <t>Candidate Name</t>
  </si>
  <si>
    <t>Total Votes</t>
  </si>
  <si>
    <t>THRONAS-KAHO'ONEI, Kapana</t>
  </si>
  <si>
    <t>DES, Ana Mo</t>
  </si>
  <si>
    <t>KOUCHI, Ronald</t>
  </si>
  <si>
    <t>MALISH, James (Ryan)</t>
  </si>
  <si>
    <t>PARRISH, Michael L. (Mike)</t>
  </si>
  <si>
    <t>CHANG, Stanley</t>
  </si>
  <si>
    <t>SOON, Leilani M.</t>
  </si>
  <si>
    <t>ST THOMAS, True</t>
  </si>
  <si>
    <t>IHARA, Les S., Jr.</t>
  </si>
  <si>
    <t>SAKAI, Benjamin</t>
  </si>
  <si>
    <t>FUKUNAGA, Carol</t>
  </si>
  <si>
    <t>ROSS, Ian M.A.</t>
  </si>
  <si>
    <t>DABBS, Shotaro</t>
  </si>
  <si>
    <t>MORIWAKI, Sharon Y.</t>
  </si>
  <si>
    <t>BOYD, Blake</t>
  </si>
  <si>
    <t>SOUZA, Kapono Aluli</t>
  </si>
  <si>
    <t>KWOCK, Michelle</t>
  </si>
  <si>
    <t>TINAY, Matthew</t>
  </si>
  <si>
    <t>RHOADS, Karl</t>
  </si>
  <si>
    <t>YOUNG, Angela Melody</t>
  </si>
  <si>
    <t>RZONCA, Cheryl</t>
  </si>
  <si>
    <t>KIM, Donna Mercado</t>
  </si>
  <si>
    <t>GODFREY, Lorene A.</t>
  </si>
  <si>
    <t>WAKAI, Glenn</t>
  </si>
  <si>
    <t>BEEKMAN, Pat</t>
  </si>
  <si>
    <t>ELEFANTE, Brandon</t>
  </si>
  <si>
    <t>BEEKMAN, Patricia Yuki</t>
  </si>
  <si>
    <t>ELEFANTE, Brandon J.C.</t>
  </si>
  <si>
    <t>MISALUCHA, Bennette</t>
  </si>
  <si>
    <t>HUDSON, Anna Misako</t>
  </si>
  <si>
    <t>DICKS, Karl O.</t>
  </si>
  <si>
    <t>DELA CRUZ, Donovan</t>
  </si>
  <si>
    <t>SVRCINA, Emil</t>
  </si>
  <si>
    <t>KIDANI, Michelle N.</t>
  </si>
  <si>
    <t>SMART, Mary</t>
  </si>
  <si>
    <t>AQUINO, Henry J.C.</t>
  </si>
  <si>
    <t>CLEMENTE, Roger</t>
  </si>
  <si>
    <t>FEVELLA, Kurt</t>
  </si>
  <si>
    <t>KHAN, Matthew D.</t>
  </si>
  <si>
    <t>GABBARD, Mike</t>
  </si>
  <si>
    <t>DECORTE, Samantha</t>
  </si>
  <si>
    <t>SAVAIINAEA, Teri Kia</t>
  </si>
  <si>
    <t>GATES, Cedric Asuega</t>
  </si>
  <si>
    <t>ELI, Stacelynn Kehaulani</t>
  </si>
  <si>
    <t>SHIMABUKURO, Maile S.L.</t>
  </si>
  <si>
    <t>AWA, Brenton</t>
  </si>
  <si>
    <t>SHAFER, Ben</t>
  </si>
  <si>
    <t>HEE, Clayton</t>
  </si>
  <si>
    <t>HANNEMANN, Arthur D. (Art)</t>
  </si>
  <si>
    <t>RIVIERE, Gil</t>
  </si>
  <si>
    <t>KEOHOKALOLE, Jarrett K.</t>
  </si>
  <si>
    <t>FERNANDEZ, Antionette</t>
  </si>
  <si>
    <t>LAM, Adriel C.</t>
  </si>
  <si>
    <t>KEOHOKALOLE, Jarrett</t>
  </si>
  <si>
    <t>LAURO, Brian S.</t>
  </si>
  <si>
    <t>LEE, Chris</t>
  </si>
  <si>
    <t>Win Number:</t>
  </si>
  <si>
    <t>Demographic Analysis</t>
  </si>
  <si>
    <t>Data from: State House District 1 (2022); Hawaii!!Estimate</t>
  </si>
  <si>
    <t>Win Number - Voters under 35</t>
  </si>
  <si>
    <t>NAKASHIMA, Mark M.</t>
  </si>
  <si>
    <t>Win Number - Hawaiians</t>
  </si>
  <si>
    <t>Win Number - People Making Under 100k</t>
  </si>
  <si>
    <t>85+</t>
  </si>
  <si>
    <t>50,000$ to $100,000</t>
  </si>
  <si>
    <t>100,000$ to 150,000$</t>
  </si>
  <si>
    <t>150,000$ to $200,000</t>
  </si>
  <si>
    <t>Data from: State House District 2 (2022); Hawaii!!Estimate</t>
  </si>
  <si>
    <t>LEE LOY, Susan (Sue)</t>
  </si>
  <si>
    <t>AYNESSAZIAN, Tanya Yamanaka</t>
  </si>
  <si>
    <t>ONISHI, Richard H.K.</t>
  </si>
  <si>
    <t>Data from: State House District 3 (2022); Hawaii!!Estimate</t>
  </si>
  <si>
    <t>WILSON, Kanoa</t>
  </si>
  <si>
    <t>x</t>
  </si>
  <si>
    <t>TODD, Christopher L.T.</t>
  </si>
  <si>
    <t>KANAHELE, Kiana (Keawekane)</t>
  </si>
  <si>
    <t>2024 Primary (L)</t>
  </si>
  <si>
    <t>MARTIN, Austin D. (Shiloh)</t>
  </si>
  <si>
    <t>2022 Primary (A)</t>
  </si>
  <si>
    <t>MCMACKIN, Devinshaw K., Sr.</t>
  </si>
  <si>
    <t>MATSON, Shannon Lopeka</t>
  </si>
  <si>
    <t>Data from: State House District 4 (2022); Hawaii!!Estimate</t>
  </si>
  <si>
    <t>HO, Keikilani</t>
  </si>
  <si>
    <t>ILAGAN, Greggor</t>
  </si>
  <si>
    <t>2022 Primary (N)</t>
  </si>
  <si>
    <t>LEY, Brian C.</t>
  </si>
  <si>
    <t>2022 Primary (L)</t>
  </si>
  <si>
    <t>LINTON, Candace T. (Candy)</t>
  </si>
  <si>
    <t>Data from: State House District 5 (2022); Hawaii!!Estimate</t>
  </si>
  <si>
    <t>OYAMA, Ashley</t>
  </si>
  <si>
    <t>KAPELA, Jeanne</t>
  </si>
  <si>
    <t>MAKUAOLE-PERRIN, Chantel</t>
  </si>
  <si>
    <t>FOGEL, Frederick F.</t>
  </si>
  <si>
    <t>GOODWIN, Lohi</t>
  </si>
  <si>
    <t>LAST, Michael L.</t>
  </si>
  <si>
    <t>Data from: State House District 6 (2022); Hawaii!!Estimate</t>
  </si>
  <si>
    <t>MADISON, Sylvie M.</t>
  </si>
  <si>
    <t>KAHALOA, Kirstin</t>
  </si>
  <si>
    <t>BETLACH, John F.</t>
  </si>
  <si>
    <t>KENNEALY, Jonathan P.</t>
  </si>
  <si>
    <t>KAHALOA, Kirstin A.K.</t>
  </si>
  <si>
    <t>BARANNIKOV, Ilya</t>
  </si>
  <si>
    <t>MACK, Lono</t>
  </si>
  <si>
    <t>Data from: State House District 7 (2022); Hawaii!!Estimate</t>
  </si>
  <si>
    <t>DALHOUSE, Timothy A. (Tim)</t>
  </si>
  <si>
    <t>LOWEN, Nicole</t>
  </si>
  <si>
    <t>Data from: State House District 8 (2022); Hawaii!!Estimate</t>
  </si>
  <si>
    <t>PERREIRA, Monique CobbAdams</t>
  </si>
  <si>
    <t>TARNAS, David A.</t>
  </si>
  <si>
    <t>FREITAS, Makai</t>
  </si>
  <si>
    <t>Data from: State House District 9 (2022); Hawaii!!Estimate</t>
  </si>
  <si>
    <t>WOODSON, Justin H.</t>
  </si>
  <si>
    <t>WOODSON, Justin</t>
  </si>
  <si>
    <t>PERALTA, Sam (Kamuela)</t>
  </si>
  <si>
    <t>Data from: State House District 10 (2022); Hawaii!!Estimate</t>
  </si>
  <si>
    <t>MIYAKE, Tyson K.</t>
  </si>
  <si>
    <t>SAVAGE, Jeremiah</t>
  </si>
  <si>
    <t>HASHIMOTO, Troy</t>
  </si>
  <si>
    <t>Data from: State House District 11 (2022); Hawaii!!Estimate</t>
  </si>
  <si>
    <t>ACAIN, Aileen R. (Lily)</t>
  </si>
  <si>
    <t>AMATO, Terez (T.Amato)</t>
  </si>
  <si>
    <t>CANTERE, Shekinah P.</t>
  </si>
  <si>
    <t>HALPERIN, Netra</t>
  </si>
  <si>
    <t>MAHIAI, Randal N., Jr.</t>
  </si>
  <si>
    <t>Data from: State House District 12 (2022); Hawaii!!Estimate</t>
  </si>
  <si>
    <t>2024 Primary (Green)</t>
  </si>
  <si>
    <t>RYAN, Rita M.</t>
  </si>
  <si>
    <t>JOHNSON, Dan</t>
  </si>
  <si>
    <t>YAMASHITA, Kyle T.</t>
  </si>
  <si>
    <t>STARR, Summer</t>
  </si>
  <si>
    <t>Data from: State House District 13 (2022); Hawaii!!Estimate</t>
  </si>
  <si>
    <t>ADAM, Scott</t>
  </si>
  <si>
    <t>POEPOE, Mahina</t>
  </si>
  <si>
    <t>CLARK, Linda Ha'i</t>
  </si>
  <si>
    <t>NIKHILANANDA, Nick</t>
  </si>
  <si>
    <t>POEPOE, Mahina M.</t>
  </si>
  <si>
    <t>NOMURA, Chase (Kealiimalu)</t>
  </si>
  <si>
    <t>Data from: State House District 14 (2022); Hawaii!!Estimate</t>
  </si>
  <si>
    <t>ARMSTRONG, Kelly J.</t>
  </si>
  <si>
    <t>COCHRAN, Elle</t>
  </si>
  <si>
    <t>BALINBIN, Kanamu</t>
  </si>
  <si>
    <t>NAKOA, Leonard K., III</t>
  </si>
  <si>
    <t>Data from: State House District 15 (2022); Hawaii!!Estimate</t>
  </si>
  <si>
    <t>MORANZ, David A.</t>
  </si>
  <si>
    <t>NAKAMURA, Nadine K.</t>
  </si>
  <si>
    <t>BENTLEY, Greg</t>
  </si>
  <si>
    <t>Data from: State House District 16 (2022); Hawaii!!Estimate</t>
  </si>
  <si>
    <t>YODER, Steve</t>
  </si>
  <si>
    <t>EVSLIN, Luke A.</t>
  </si>
  <si>
    <t>TOKIOKA, James Kunane</t>
  </si>
  <si>
    <t>Data from: State House District 17 (2022); Hawaii!!Estimate</t>
  </si>
  <si>
    <t>JAUCH, Michael H.</t>
  </si>
  <si>
    <t>MORIKAWA, Daynette (Dee)</t>
  </si>
  <si>
    <t>WILSON, Michael D.</t>
  </si>
  <si>
    <t>Data from: State House District 19 (2022); Hawaii!!Estimate</t>
  </si>
  <si>
    <t>HASHEM, Mark Jun</t>
  </si>
  <si>
    <t>TEXEIRA, Theresa (Kinsey)</t>
  </si>
  <si>
    <t>FELDMAN, Kathy</t>
  </si>
  <si>
    <t>Data from: State House District 20 (2022); Hawaii!!Estimate</t>
  </si>
  <si>
    <t>SOLOMON, Corinne S.</t>
  </si>
  <si>
    <t>NAKADA GRANDINETTI, Tina</t>
  </si>
  <si>
    <t>CHOI, John</t>
  </si>
  <si>
    <t>WONG, Kevan JunWah Kamakana</t>
  </si>
  <si>
    <t>LOGUE, James</t>
  </si>
  <si>
    <t>HOOKER, George</t>
  </si>
  <si>
    <t>CAIAZZO, Jessica (Priya)</t>
  </si>
  <si>
    <t>ANDERSON, Consuelo (Liz)</t>
  </si>
  <si>
    <t>KOBAYASHI, Bertrand (Bert)</t>
  </si>
  <si>
    <t>Data from: State House District 21 (2022); Hawaii!!Estimate</t>
  </si>
  <si>
    <t>SEASHELL, Joelle</t>
  </si>
  <si>
    <t>SAYAMA, Jackson D.</t>
  </si>
  <si>
    <t>ALLEN, Julia E.</t>
  </si>
  <si>
    <t>Data from: State House District 22 (2022); Hawaii!!Estimate</t>
  </si>
  <si>
    <t>IMAMURA, Jeffrey H.</t>
  </si>
  <si>
    <t>GARRETT, Andrew Takuya</t>
  </si>
  <si>
    <t>KOBAYASHI, Dale</t>
  </si>
  <si>
    <t>Data from: State House District 23 (2022); Hawaii!!Estimate</t>
  </si>
  <si>
    <t>OLDS, Ikaika M.</t>
  </si>
  <si>
    <t>MCCAIN, Pat</t>
  </si>
  <si>
    <t>ROBOTTI, Paul F.</t>
  </si>
  <si>
    <t>NISHIMOTO, Scott Y.</t>
  </si>
  <si>
    <t>Data from: State House District 24 (2022); Hawaii!!Estimate</t>
  </si>
  <si>
    <t>ANDERSON, Jillian T.</t>
  </si>
  <si>
    <t>TAM, Adrian</t>
  </si>
  <si>
    <t>Data from: State House District 25 (2022); Hawaii!!Estimate</t>
  </si>
  <si>
    <t>IWAMOTO, Kim Coco</t>
  </si>
  <si>
    <t>SAIKI, Scott K.</t>
  </si>
  <si>
    <t>NOVAK, Rob</t>
  </si>
  <si>
    <t>Data from: State House District 26 (2022); Hawaii!!Estimate</t>
  </si>
  <si>
    <t>BELATTI, Della Au</t>
  </si>
  <si>
    <t>ROSECRANS, Charlotte</t>
  </si>
  <si>
    <t>WANG, Valerie C.</t>
  </si>
  <si>
    <t>NARA, Kanzo</t>
  </si>
  <si>
    <t>Data from: State House District 27 (2022); Hawaii!!Estimate</t>
  </si>
  <si>
    <t>LIM, Margaret U.</t>
  </si>
  <si>
    <t>CHRISTIAN, Wallyn Kanoelani</t>
  </si>
  <si>
    <t>TAKENOUCHI, Jenna</t>
  </si>
  <si>
    <t>Somewhat vulnerable:</t>
  </si>
  <si>
    <t>GILL, Gary</t>
  </si>
  <si>
    <t>Data from: State House District 28 (2022); Hawaii!!Estimate</t>
  </si>
  <si>
    <t>HOLT, Daniel</t>
  </si>
  <si>
    <t>CARAVALHO, Ernest</t>
  </si>
  <si>
    <t>ARMSTRONG, Robert Mikala</t>
  </si>
  <si>
    <t>FARM, Ken</t>
  </si>
  <si>
    <t>Data from: State House District 29 (2022); Hawaii!!Estimate</t>
  </si>
  <si>
    <t>KAAPU, Carole Kauhiwai</t>
  </si>
  <si>
    <t>HUSSEY, Ikaika Lardizabal</t>
  </si>
  <si>
    <t>MIZUNO, May Besario</t>
  </si>
  <si>
    <t>MIZUNO, John M.</t>
  </si>
  <si>
    <t>Data from: State House District 30 (2022); Hawaii!!Estimate</t>
  </si>
  <si>
    <t>AZINGA, P. M.</t>
  </si>
  <si>
    <t>TEMPLO, Shirley Ann Labadan</t>
  </si>
  <si>
    <t>GANADEN, Ernesto M. (Sonny)</t>
  </si>
  <si>
    <t>GANADEN, Ernesto (Sonny)</t>
  </si>
  <si>
    <t>CACHOLA, Romy M.</t>
  </si>
  <si>
    <t>TEMPLO, Shirley Ann L.</t>
  </si>
  <si>
    <t>Data from: State House District 31 (2022); Hawaii!!Estimate</t>
  </si>
  <si>
    <t>VALDEZ, Nancy A.</t>
  </si>
  <si>
    <t>ICHIYAMA, Linda</t>
  </si>
  <si>
    <t>EMOSI, Faifaiese, Jr.</t>
  </si>
  <si>
    <t>Data from: State House District 32 (2022); Hawaii!!Estimate</t>
  </si>
  <si>
    <t>SHIMIZU, Garner Musashi</t>
  </si>
  <si>
    <t>AIU, Micah Pookela Kim</t>
  </si>
  <si>
    <t>SHIMIZU, Garner M.</t>
  </si>
  <si>
    <t>Data from: State House District 33 (2022); Hawaii!!Estimate</t>
  </si>
  <si>
    <t>KONG, Sam Satoru</t>
  </si>
  <si>
    <t>ARAKAKI, Tracy Aaron</t>
  </si>
  <si>
    <t>Data from: State House District 34 (2022); Hawaii!!Estimate</t>
  </si>
  <si>
    <t>DUPIO, Gaius, II</t>
  </si>
  <si>
    <t>TAKAYAMA, Gregg</t>
  </si>
  <si>
    <t>ALLEN, Theodene S.</t>
  </si>
  <si>
    <t>TAKUMI, Roy M.</t>
  </si>
  <si>
    <t>Data from: State House District 35 (2022); Hawaii!!Estimate</t>
  </si>
  <si>
    <t>CHUN, Cory M.</t>
  </si>
  <si>
    <t>RAHMAN PERREIRA, Ikeda</t>
  </si>
  <si>
    <t>BONIFACIO, Domineque E.P.</t>
  </si>
  <si>
    <t>ARAKI, Josiah P.</t>
  </si>
  <si>
    <t>TAKEUCHI, Nathan H.</t>
  </si>
  <si>
    <t>PRIETO, Jolyn Garidan</t>
  </si>
  <si>
    <t>RAHMAN, Inam</t>
  </si>
  <si>
    <t>Data from: State House District 36 (2022); Hawaii!!Estimate</t>
  </si>
  <si>
    <t>LAMOSAO, Rachele F.</t>
  </si>
  <si>
    <t>LAUTAHA, Veamoniti</t>
  </si>
  <si>
    <t>LAMOSAO, Rachele Fernandez</t>
  </si>
  <si>
    <t>MORITA, Maurice T.</t>
  </si>
  <si>
    <t>Data from: State House District 37 (2022); Hawaii!!Estimate</t>
  </si>
  <si>
    <t>KAAUMOANA, Taylor</t>
  </si>
  <si>
    <t>LA CHICA, Trish</t>
  </si>
  <si>
    <t>INOUYE, Ken</t>
  </si>
  <si>
    <t>DETWILER, Jamie A.</t>
  </si>
  <si>
    <t>YAMANE, Ryan I.</t>
  </si>
  <si>
    <t>SARRAFIAN, Eric M.</t>
  </si>
  <si>
    <t>Data from: State House District 38 (2022); Hawaii!!Estimate</t>
  </si>
  <si>
    <t>CHEAPE MATSUMOTO, Lauren</t>
  </si>
  <si>
    <t>OZAWA, Alexander Kekuanao'a</t>
  </si>
  <si>
    <t>LEE, Marilyn B.</t>
  </si>
  <si>
    <t>Data from: State House District 39 (2022); Hawaii!!Estimate</t>
  </si>
  <si>
    <t>PIERICK, Elijah</t>
  </si>
  <si>
    <t>ROSENLEE, Corey</t>
  </si>
  <si>
    <t>GARCIA, Reginald Kawena</t>
  </si>
  <si>
    <t>MAGLINTI, Austin L.S.</t>
  </si>
  <si>
    <t>CULLEN, Jamaica A. (Mai)</t>
  </si>
  <si>
    <t>WILSON, Kevin Kupihea</t>
  </si>
  <si>
    <t>Data from: State House District 40 (2022); Hawaii!!Estimate</t>
  </si>
  <si>
    <t>REYES ODA, Julie</t>
  </si>
  <si>
    <t>ASUNCION, Cory C.</t>
  </si>
  <si>
    <t>MCCURLEY, Frankie</t>
  </si>
  <si>
    <t>MARTINEZ, Rose</t>
  </si>
  <si>
    <t>2024 Primary (W)</t>
  </si>
  <si>
    <t>ULUFANUA, Christian P.</t>
  </si>
  <si>
    <t>GUESO, Janie</t>
  </si>
  <si>
    <t>STARR, Michael</t>
  </si>
  <si>
    <t>REYES ODA, Julie K.</t>
  </si>
  <si>
    <t>KAULULAAU, Wayne K.S.</t>
  </si>
  <si>
    <t>Data from: State House District 41 (2022); Hawaii!!Estimate</t>
  </si>
  <si>
    <t>ALCOS, David A., III</t>
  </si>
  <si>
    <t>CLARK, John H., III</t>
  </si>
  <si>
    <t>WADE, Daniel P. (Dan)</t>
  </si>
  <si>
    <t>LOPRESTI, Matthew S. (Matt)</t>
  </si>
  <si>
    <t>Data from: State House District 42 (2022); Hawaii!!Estimate</t>
  </si>
  <si>
    <t>GARCIA, Diamond</t>
  </si>
  <si>
    <t>PARIS, Anthony Makana</t>
  </si>
  <si>
    <t>YADAO, Summer-Lee (Kau'i)</t>
  </si>
  <si>
    <t>BACLAAN, Isaiah C.</t>
  </si>
  <si>
    <t>HAR, Sharon E.</t>
  </si>
  <si>
    <t>GOEAS, Lori</t>
  </si>
  <si>
    <t>Data from: State House District 43 (2022); Hawaii!!Estimate</t>
  </si>
  <si>
    <t>SOUZA, Kanani</t>
  </si>
  <si>
    <t>MEDEIROS, Sheila</t>
  </si>
  <si>
    <t>ODOM, Anna</t>
  </si>
  <si>
    <t>ELI, Stacelynn K.M.</t>
  </si>
  <si>
    <t>Data from: State House District 44 (2022); Hawaii!!Estimate</t>
  </si>
  <si>
    <t>KILA, Darius K.</t>
  </si>
  <si>
    <t>KOPETSEG, Kimberly</t>
  </si>
  <si>
    <t>LEE, Jonathan</t>
  </si>
  <si>
    <t>Data from: State House District 45 (2022); Hawaii!!Estimate</t>
  </si>
  <si>
    <t>MURAOKA, Chris</t>
  </si>
  <si>
    <t>WILBUR, Tiana</t>
  </si>
  <si>
    <t>DESOTO, Desire Auguste</t>
  </si>
  <si>
    <t>CRABBE, Cross Makani</t>
  </si>
  <si>
    <t>GANABAN, Philip Joseph</t>
  </si>
  <si>
    <t>SOARES, Ranson Kuiokalani</t>
  </si>
  <si>
    <t>OQUENDO, Cherie Kuualoha</t>
  </si>
  <si>
    <t>ALDEGUER, Maysana A.</t>
  </si>
  <si>
    <t>JORDAN, Jo</t>
  </si>
  <si>
    <t>Data from: State House District 46 (2022); Hawaii!!Estimate</t>
  </si>
  <si>
    <t>GABRIEL, Daniel Michael</t>
  </si>
  <si>
    <t>PERRUSO, Amy A.</t>
  </si>
  <si>
    <t>CLEMENTE, Mark Anthony G.</t>
  </si>
  <si>
    <t>MILLER, John E.</t>
  </si>
  <si>
    <t>Data from: State House District 47 (2022); Hawaii!!Estimate</t>
  </si>
  <si>
    <t>AGUIRRE, John W. (Johnny)</t>
  </si>
  <si>
    <t>QUINLAN, Sean</t>
  </si>
  <si>
    <t>TALAEAI, Mark</t>
  </si>
  <si>
    <t>Data from: State House District 48 (2022); Hawaii!!Estimate</t>
  </si>
  <si>
    <t>DAILY, Asheemo N. (Koda)</t>
  </si>
  <si>
    <t>KITAGAWA, Lisa C.</t>
  </si>
  <si>
    <t>ELENTO, Wendell A.</t>
  </si>
  <si>
    <t>Data from: State House District 49 (2022); Hawaii!!Estimate</t>
  </si>
  <si>
    <t>UBANDO, Josiah (BrahKruz)</t>
  </si>
  <si>
    <t>MATAYOSHI, Scot</t>
  </si>
  <si>
    <t>NAIPO, Kana</t>
  </si>
  <si>
    <t>DANNER, Kilomana</t>
  </si>
  <si>
    <t>RICHEY, Shawn L.</t>
  </si>
  <si>
    <t>Data from: State House District 50 (2022); Hawaii!!Estimate</t>
  </si>
  <si>
    <t>CONNELLY, Timothy D.</t>
  </si>
  <si>
    <t>LEE, Mike</t>
  </si>
  <si>
    <t>HUSSEY-BURDICK, Natalia</t>
  </si>
  <si>
    <t>THURSTON, Kathy</t>
  </si>
  <si>
    <t>LEE, Michael</t>
  </si>
  <si>
    <t>VEGAS, Esera D.L.</t>
  </si>
  <si>
    <t>DIFANTE, Toni C.</t>
  </si>
  <si>
    <t>Data from: State House District 51 (2022); Hawaii!!Estimate</t>
  </si>
  <si>
    <t>MARTEN, Lisa</t>
  </si>
  <si>
    <t>POKIPALA, Hopena</t>
  </si>
  <si>
    <t>KAMA-TOTH, Kukana K.K.</t>
  </si>
  <si>
    <t>Data from: Label (Grouping)</t>
  </si>
  <si>
    <t>POHLMAN, Emma Jane Avila</t>
  </si>
  <si>
    <t>MCDERMOTT, Bob</t>
  </si>
  <si>
    <t>AMARAL, Melba</t>
  </si>
  <si>
    <t>DOLAN, Paul</t>
  </si>
  <si>
    <t>REYES, Arturo P.</t>
  </si>
  <si>
    <t>TIPON, Emmanuel</t>
  </si>
  <si>
    <t>HIRONO, Mazie K.</t>
  </si>
  <si>
    <t>CURTIS, Ron</t>
  </si>
  <si>
    <t>LEWMAN, Clyde McClain (Mac)</t>
  </si>
  <si>
    <t>2024 Primary (N)</t>
  </si>
  <si>
    <t>GIUFFRE, John (Raghu)</t>
  </si>
  <si>
    <t>BILLIONAIRE, Shelby Pikachu</t>
  </si>
  <si>
    <t>POHLMAN, Emma Jane A.</t>
  </si>
  <si>
    <t>DECKER, Dan</t>
  </si>
  <si>
    <t>DALHOUSE, Timothy A.</t>
  </si>
  <si>
    <t>BOND, Steven R.</t>
  </si>
  <si>
    <t>LAVONNE, Asia</t>
  </si>
  <si>
    <t>BONOAN, Feena M.</t>
  </si>
  <si>
    <t>SCHATZ, Brian</t>
  </si>
  <si>
    <t>TATAII, Steve</t>
  </si>
  <si>
    <t>LARGEY, Patrick C.</t>
  </si>
  <si>
    <t>CASE, Ed</t>
  </si>
  <si>
    <t>HALE, Cecil R.</t>
  </si>
  <si>
    <t>GRIFFIN, Calvin</t>
  </si>
  <si>
    <t>GRIFFIN, Calvin C. (G)</t>
  </si>
  <si>
    <t>ABKIN, Steven L.</t>
  </si>
  <si>
    <t>KRESS, Conrad</t>
  </si>
  <si>
    <t>ALCUBILLA, Sergio (Serg)</t>
  </si>
  <si>
    <t>BOND, Steve</t>
  </si>
  <si>
    <t>TOKUDA, Jill N.</t>
  </si>
  <si>
    <t>MEYER, Randall Kelly</t>
  </si>
  <si>
    <t>TOMAN, Aaron</t>
  </si>
  <si>
    <t>AKANA, Joe</t>
  </si>
  <si>
    <t>WEBSTER, Joseph E. (Joe)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</si>
</sst>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General"/>
  </numFmts>
  <fonts count="12">
    <font>
      <sz val="10.0"/>
      <color rgb="FF000000"/>
      <name val="Arial"/>
      <scheme val="minor"/>
    </font>
    <font>
      <b/>
      <color theme="1"/>
      <name val="Arial"/>
      <scheme val="minor"/>
    </font>
    <font>
      <color theme="1"/>
      <name val="Arial"/>
      <scheme val="minor"/>
    </font>
    <font>
      <b/>
      <u/>
      <color rgb="FF0000FF"/>
    </font>
    <font>
      <b/>
      <color theme="1"/>
      <name val="Arial"/>
    </font>
    <font>
      <color theme="1"/>
      <name val="Arial"/>
    </font>
    <font>
      <b/>
      <sz val="10.0"/>
      <color theme="1"/>
      <name val="Arial"/>
      <scheme val="minor"/>
    </font>
    <font>
      <b/>
      <sz val="14.0"/>
      <color theme="1"/>
      <name val="Arial"/>
      <scheme val="minor"/>
    </font>
    <font>
      <b/>
      <sz val="12.0"/>
      <color theme="1"/>
      <name val="Arial"/>
      <scheme val="minor"/>
    </font>
    <font>
      <i/>
      <color theme="1"/>
      <name val="Arial"/>
      <scheme val="minor"/>
    </font>
    <font>
      <b/>
      <color rgb="FF000000"/>
      <name val="Arial"/>
      <scheme val="minor"/>
    </font>
    <font>
      <color rgb="FF000000"/>
      <name val="Arial"/>
      <scheme val="minor"/>
    </font>
  </fonts>
  <fills count="4">
    <fill>
      <patternFill patternType="none"/>
    </fill>
    <fill>
      <patternFill patternType="lightGray"/>
    </fill>
    <fill>
      <patternFill patternType="solid">
        <fgColor rgb="FFE8F0FE"/>
        <bgColor rgb="FFE8F0FE"/>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xf>
    <xf borderId="1" fillId="0" fontId="1" numFmtId="0" xfId="0" applyAlignment="1" applyBorder="1" applyFont="1">
      <alignment readingOrder="0"/>
    </xf>
    <xf borderId="1" fillId="0" fontId="1" numFmtId="1" xfId="0" applyAlignment="1" applyBorder="1" applyFont="1" applyNumberFormat="1">
      <alignment readingOrder="0"/>
    </xf>
    <xf borderId="0" fillId="0" fontId="4" numFmtId="0" xfId="0" applyAlignment="1" applyFont="1">
      <alignment readingOrder="0" shrinkToFit="0" vertical="bottom" wrapText="1"/>
    </xf>
    <xf borderId="0" fillId="0" fontId="1" numFmtId="0" xfId="0" applyAlignment="1" applyFont="1">
      <alignment readingOrder="0" shrinkToFit="0" wrapText="1"/>
    </xf>
    <xf borderId="0" fillId="0" fontId="1" numFmtId="0" xfId="0" applyFont="1"/>
    <xf borderId="0" fillId="0" fontId="1" numFmtId="0" xfId="0" applyAlignment="1" applyFont="1">
      <alignment shrinkToFit="0" wrapText="1"/>
    </xf>
    <xf borderId="1" fillId="0" fontId="2" numFmtId="0" xfId="0" applyAlignment="1" applyBorder="1" applyFont="1">
      <alignment readingOrder="0"/>
    </xf>
    <xf borderId="1" fillId="0" fontId="2" numFmtId="1" xfId="0" applyAlignment="1" applyBorder="1" applyFont="1" applyNumberFormat="1">
      <alignment readingOrder="0"/>
    </xf>
    <xf borderId="0" fillId="0" fontId="2" numFmtId="0" xfId="0" applyAlignment="1" applyFont="1">
      <alignment readingOrder="0"/>
    </xf>
    <xf borderId="0" fillId="0" fontId="5" numFmtId="0" xfId="0" applyAlignment="1" applyFont="1">
      <alignment readingOrder="0" vertical="bottom"/>
    </xf>
    <xf borderId="1" fillId="0" fontId="2" numFmtId="0" xfId="0" applyAlignment="1" applyBorder="1" applyFont="1">
      <alignment readingOrder="0" shrinkToFit="0" wrapText="1"/>
    </xf>
    <xf borderId="1" fillId="0" fontId="2" numFmtId="1" xfId="0" applyBorder="1" applyFont="1" applyNumberFormat="1"/>
    <xf borderId="0" fillId="0" fontId="2" numFmtId="0" xfId="0" applyFont="1"/>
    <xf borderId="0" fillId="0" fontId="5" numFmtId="0" xfId="0" applyAlignment="1" applyFont="1">
      <alignment horizontal="right" readingOrder="0" shrinkToFit="0" vertical="bottom" wrapText="1"/>
    </xf>
    <xf borderId="0" fillId="0" fontId="5" numFmtId="0" xfId="0" applyAlignment="1" applyFont="1">
      <alignment readingOrder="0" shrinkToFit="0" vertical="bottom" wrapText="1"/>
    </xf>
    <xf borderId="0" fillId="0" fontId="2" numFmtId="1" xfId="0" applyAlignment="1" applyFont="1" applyNumberFormat="1">
      <alignment readingOrder="0"/>
    </xf>
    <xf borderId="0" fillId="0" fontId="2" numFmtId="1" xfId="0" applyFont="1" applyNumberFormat="1"/>
    <xf borderId="1" fillId="0" fontId="2" numFmtId="0" xfId="0" applyBorder="1" applyFont="1"/>
    <xf borderId="1" fillId="0" fontId="1" numFmtId="0" xfId="0" applyAlignment="1" applyBorder="1" applyFont="1">
      <alignment readingOrder="0" shrinkToFit="0" wrapText="1"/>
    </xf>
    <xf borderId="1" fillId="0" fontId="2" numFmtId="1" xfId="0" applyAlignment="1" applyBorder="1" applyFont="1" applyNumberFormat="1">
      <alignment shrinkToFit="0" wrapText="1"/>
    </xf>
    <xf borderId="1" fillId="0" fontId="1" numFmtId="0" xfId="0" applyBorder="1" applyFont="1"/>
    <xf borderId="1" fillId="0" fontId="6" numFmtId="0" xfId="0" applyAlignment="1" applyBorder="1" applyFont="1">
      <alignment readingOrder="0"/>
    </xf>
    <xf borderId="1" fillId="0" fontId="7" numFmtId="0" xfId="0" applyAlignment="1" applyBorder="1" applyFont="1">
      <alignment readingOrder="0"/>
    </xf>
    <xf borderId="0" fillId="0" fontId="7" numFmtId="0" xfId="0" applyAlignment="1" applyFont="1">
      <alignment readingOrder="0"/>
    </xf>
    <xf borderId="0" fillId="0" fontId="1" numFmtId="1" xfId="0" applyAlignment="1" applyFont="1" applyNumberFormat="1">
      <alignment readingOrder="0"/>
    </xf>
    <xf borderId="0" fillId="0" fontId="1" numFmtId="0" xfId="0" applyAlignment="1" applyFont="1">
      <alignment horizontal="left"/>
    </xf>
    <xf borderId="1" fillId="0" fontId="2" numFmtId="0" xfId="0" applyAlignment="1" applyBorder="1" applyFont="1">
      <alignment readingOrder="0"/>
    </xf>
    <xf borderId="0" fillId="0" fontId="2" numFmtId="0" xfId="0" applyAlignment="1" applyFont="1">
      <alignment horizontal="left"/>
    </xf>
    <xf borderId="0" fillId="0" fontId="5" numFmtId="0" xfId="0" applyAlignment="1" applyFont="1">
      <alignment horizontal="right" shrinkToFit="0" vertical="bottom" wrapText="1"/>
    </xf>
    <xf borderId="0" fillId="0" fontId="1" numFmtId="0" xfId="0" applyAlignment="1" applyFont="1">
      <alignment readingOrder="0"/>
    </xf>
    <xf borderId="0" fillId="0" fontId="5" numFmtId="0" xfId="0" applyAlignment="1" applyFont="1">
      <alignment horizontal="right" vertical="bottom"/>
    </xf>
    <xf borderId="0" fillId="0" fontId="5" numFmtId="0" xfId="0" applyAlignment="1" applyFont="1">
      <alignment horizontal="right" readingOrder="0" vertical="bottom"/>
    </xf>
    <xf borderId="0" fillId="0" fontId="2" numFmtId="1" xfId="0" applyAlignment="1" applyFont="1" applyNumberFormat="1">
      <alignment shrinkToFit="0" wrapText="1"/>
    </xf>
    <xf borderId="2" fillId="0" fontId="2" numFmtId="0" xfId="0" applyBorder="1" applyFont="1"/>
    <xf borderId="2" fillId="0" fontId="1" numFmtId="0" xfId="0" applyAlignment="1" applyBorder="1" applyFont="1">
      <alignment readingOrder="0"/>
    </xf>
    <xf borderId="2" fillId="0" fontId="2" numFmtId="0" xfId="0" applyAlignment="1" applyBorder="1" applyFont="1">
      <alignment readingOrder="0"/>
    </xf>
    <xf borderId="0" fillId="0" fontId="2" numFmtId="0" xfId="0" applyAlignment="1" applyFont="1">
      <alignment readingOrder="0"/>
    </xf>
    <xf borderId="0" fillId="0" fontId="2" numFmtId="0" xfId="0" applyFont="1"/>
    <xf borderId="0" fillId="0" fontId="8" numFmtId="0" xfId="0" applyAlignment="1" applyFont="1">
      <alignment readingOrder="0"/>
    </xf>
    <xf borderId="1" fillId="2" fontId="1" numFmtId="0" xfId="0" applyAlignment="1" applyBorder="1" applyFill="1" applyFont="1">
      <alignment readingOrder="0"/>
    </xf>
    <xf borderId="0" fillId="0" fontId="9" numFmtId="0" xfId="0" applyAlignment="1" applyFont="1">
      <alignment readingOrder="0"/>
    </xf>
    <xf borderId="0" fillId="3" fontId="10" numFmtId="164" xfId="0" applyAlignment="1" applyFill="1" applyFont="1" applyNumberFormat="1">
      <alignment readingOrder="0"/>
    </xf>
    <xf borderId="0" fillId="3" fontId="11" numFmtId="164" xfId="0" applyFont="1" applyNumberFormat="1"/>
    <xf borderId="0" fillId="3" fontId="11" numFmtId="164" xfId="0" applyAlignment="1" applyFont="1" applyNumberFormat="1">
      <alignment readingOrder="0"/>
    </xf>
    <xf borderId="0" fillId="0" fontId="2" numFmtId="9" xfId="0" applyAlignment="1" applyFont="1" applyNumberFormat="1">
      <alignment readingOrder="0"/>
    </xf>
    <xf borderId="0" fillId="0" fontId="2"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84" Type="http://schemas.openxmlformats.org/officeDocument/2006/relationships/worksheet" Target="worksheets/sheet80.xml"/><Relationship Id="rId83" Type="http://schemas.openxmlformats.org/officeDocument/2006/relationships/worksheet" Target="worksheets/sheet79.xml"/><Relationship Id="rId42" Type="http://schemas.openxmlformats.org/officeDocument/2006/relationships/worksheet" Target="worksheets/sheet38.xml"/><Relationship Id="rId86" Type="http://schemas.openxmlformats.org/officeDocument/2006/relationships/worksheet" Target="worksheets/sheet82.xml"/><Relationship Id="rId41" Type="http://schemas.openxmlformats.org/officeDocument/2006/relationships/worksheet" Target="worksheets/sheet37.xml"/><Relationship Id="rId85" Type="http://schemas.openxmlformats.org/officeDocument/2006/relationships/worksheet" Target="worksheets/sheet81.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31" Type="http://schemas.openxmlformats.org/officeDocument/2006/relationships/worksheet" Target="worksheets/sheet27.xml"/><Relationship Id="rId75" Type="http://schemas.openxmlformats.org/officeDocument/2006/relationships/worksheet" Target="worksheets/sheet71.xml"/><Relationship Id="rId30" Type="http://schemas.openxmlformats.org/officeDocument/2006/relationships/worksheet" Target="worksheets/sheet26.xml"/><Relationship Id="rId74" Type="http://schemas.openxmlformats.org/officeDocument/2006/relationships/worksheet" Target="worksheets/sheet70.xml"/><Relationship Id="rId33" Type="http://schemas.openxmlformats.org/officeDocument/2006/relationships/worksheet" Target="worksheets/sheet29.xml"/><Relationship Id="rId77" Type="http://schemas.openxmlformats.org/officeDocument/2006/relationships/worksheet" Target="worksheets/sheet73.xml"/><Relationship Id="rId32" Type="http://schemas.openxmlformats.org/officeDocument/2006/relationships/worksheet" Target="worksheets/sheet28.xml"/><Relationship Id="rId76" Type="http://schemas.openxmlformats.org/officeDocument/2006/relationships/worksheet" Target="worksheets/sheet72.xml"/><Relationship Id="rId35" Type="http://schemas.openxmlformats.org/officeDocument/2006/relationships/worksheet" Target="worksheets/sheet31.xml"/><Relationship Id="rId79" Type="http://schemas.openxmlformats.org/officeDocument/2006/relationships/worksheet" Target="worksheets/sheet75.xml"/><Relationship Id="rId34" Type="http://schemas.openxmlformats.org/officeDocument/2006/relationships/worksheet" Target="worksheets/sheet30.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1'!$A$5:$A$8</c:f>
            </c:strRef>
          </c:cat>
          <c:val>
            <c:numRef>
              <c:f>'State Senator, Dist 1'!$B$5:$B$8</c:f>
              <c:numCache/>
            </c:numRef>
          </c:val>
        </c:ser>
        <c:axId val="272015039"/>
        <c:axId val="1382379378"/>
      </c:barChart>
      <c:catAx>
        <c:axId val="2720150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82379378"/>
      </c:catAx>
      <c:valAx>
        <c:axId val="13823793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72015039"/>
      </c:valAx>
    </c:plotArea>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Senator, Dist 1'!$A$16:$A$18</c:f>
            </c:strRef>
          </c:cat>
          <c:val>
            <c:numRef>
              <c:f>'State Senator, Dist 1'!$B$16:$B$18</c:f>
              <c:numCache/>
            </c:numRef>
          </c:val>
        </c:ser>
        <c:axId val="1155469803"/>
        <c:axId val="1257013452"/>
      </c:barChart>
      <c:catAx>
        <c:axId val="11554698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57013452"/>
      </c:catAx>
      <c:valAx>
        <c:axId val="1257013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55469803"/>
      </c:valAx>
    </c:plotArea>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1'!$A$24:$A$28</c:f>
            </c:strRef>
          </c:cat>
          <c:val>
            <c:numRef>
              <c:f>'State Senator, Dist 1'!$B$24:$B$28</c:f>
              <c:numCache/>
            </c:numRef>
          </c:val>
        </c:ser>
        <c:axId val="1472566614"/>
        <c:axId val="52136532"/>
      </c:barChart>
      <c:catAx>
        <c:axId val="1472566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2136532"/>
      </c:catAx>
      <c:valAx>
        <c:axId val="521365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72566614"/>
      </c:valAx>
    </c:plotArea>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1'!$O$2:$O$10</c:f>
            </c:strRef>
          </c:cat>
          <c:val>
            <c:numRef>
              <c:f>'State Senator, Dist 1'!$P$2:$P$10</c:f>
              <c:numCache/>
            </c:numRef>
          </c:val>
        </c:ser>
        <c:axId val="1681037825"/>
        <c:axId val="922518696"/>
      </c:barChart>
      <c:catAx>
        <c:axId val="16810378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22518696"/>
      </c:catAx>
      <c:valAx>
        <c:axId val="922518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1037825"/>
      </c:valAx>
    </c:plotArea>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1'!$O$14:$O$34</c:f>
            </c:strRef>
          </c:cat>
          <c:val>
            <c:numRef>
              <c:f>'State Senator, Dist 1'!$P$14:$P$34</c:f>
              <c:numCache/>
            </c:numRef>
          </c:val>
        </c:ser>
        <c:axId val="1358727913"/>
        <c:axId val="1863534437"/>
      </c:barChart>
      <c:catAx>
        <c:axId val="1358727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63534437"/>
      </c:catAx>
      <c:valAx>
        <c:axId val="18635344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8727913"/>
      </c:valAx>
    </c:plotArea>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1'!$O$42:$O$46</c:f>
            </c:strRef>
          </c:cat>
          <c:val>
            <c:numRef>
              <c:f>'State Senator, Dist 1'!$P$42:$P$46</c:f>
              <c:numCache/>
            </c:numRef>
          </c:val>
        </c:ser>
        <c:axId val="2145017044"/>
        <c:axId val="557572656"/>
      </c:barChart>
      <c:catAx>
        <c:axId val="21450170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57572656"/>
      </c:catAx>
      <c:valAx>
        <c:axId val="5575726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5017044"/>
      </c:valAx>
    </c:plotArea>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2'!$A$21:$A$23</c:f>
            </c:strRef>
          </c:cat>
          <c:val>
            <c:numRef>
              <c:f>'State Senator, Dist 2'!$B$21:$B$23</c:f>
              <c:numCache/>
            </c:numRef>
          </c:val>
        </c:ser>
        <c:axId val="7400491"/>
        <c:axId val="1010263250"/>
      </c:barChart>
      <c:catAx>
        <c:axId val="74004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10263250"/>
      </c:catAx>
      <c:valAx>
        <c:axId val="10102632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00491"/>
      </c:valAx>
    </c:plotArea>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2'!$O$2:$O$10</c:f>
            </c:strRef>
          </c:cat>
          <c:val>
            <c:numRef>
              <c:f>'State Senator, Dist 2'!$P$2:$P$10</c:f>
              <c:numCache/>
            </c:numRef>
          </c:val>
        </c:ser>
        <c:axId val="2008271512"/>
        <c:axId val="1640308455"/>
      </c:barChart>
      <c:catAx>
        <c:axId val="20082715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40308455"/>
      </c:catAx>
      <c:valAx>
        <c:axId val="16403084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8271512"/>
      </c:valAx>
    </c:plotArea>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2'!$O$14:$O$30</c:f>
            </c:strRef>
          </c:cat>
          <c:val>
            <c:numRef>
              <c:f>'State Senator, Dist 2'!$P$14:$P$30</c:f>
              <c:numCache/>
            </c:numRef>
          </c:val>
        </c:ser>
        <c:axId val="571413538"/>
        <c:axId val="1365739338"/>
      </c:barChart>
      <c:catAx>
        <c:axId val="5714135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65739338"/>
      </c:catAx>
      <c:valAx>
        <c:axId val="13657393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1413538"/>
      </c:valAx>
    </c:plotArea>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2'!$O$38:$O$42</c:f>
            </c:strRef>
          </c:cat>
          <c:val>
            <c:numRef>
              <c:f>'State Senator, Dist 2'!$P$38:$P$42</c:f>
              <c:numCache/>
            </c:numRef>
          </c:val>
        </c:ser>
        <c:axId val="221302376"/>
        <c:axId val="1904868907"/>
      </c:barChart>
      <c:catAx>
        <c:axId val="2213023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904868907"/>
      </c:catAx>
      <c:valAx>
        <c:axId val="19048689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1302376"/>
      </c:valAx>
    </c:plotArea>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Senator, Dist 3'!$A$5:$A$7</c:f>
            </c:strRef>
          </c:cat>
          <c:val>
            <c:numRef>
              <c:f>'State Senator, Dist 3'!$B$5:$B$7</c:f>
              <c:numCache/>
            </c:numRef>
          </c:val>
        </c:ser>
        <c:axId val="595620133"/>
        <c:axId val="933155931"/>
      </c:barChart>
      <c:catAx>
        <c:axId val="5956201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33155931"/>
      </c:catAx>
      <c:valAx>
        <c:axId val="9331559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95620133"/>
      </c:valAx>
    </c:plotArea>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3'!$A$13:$A$15</c:f>
            </c:strRef>
          </c:cat>
          <c:val>
            <c:numRef>
              <c:f>'State Senator, Dist 3'!$B$13:$B$15</c:f>
              <c:numCache/>
            </c:numRef>
          </c:val>
        </c:ser>
        <c:axId val="1167139569"/>
        <c:axId val="696023949"/>
      </c:barChart>
      <c:catAx>
        <c:axId val="11671395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96023949"/>
      </c:catAx>
      <c:valAx>
        <c:axId val="6960239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67139569"/>
      </c:valAx>
    </c:plotArea>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3'!$A$23:$A$25</c:f>
            </c:strRef>
          </c:cat>
          <c:val>
            <c:numRef>
              <c:f>'State Senator, Dist 3'!$B$23:$B$25</c:f>
              <c:numCache/>
            </c:numRef>
          </c:val>
        </c:ser>
        <c:axId val="1536016815"/>
        <c:axId val="736954211"/>
      </c:barChart>
      <c:catAx>
        <c:axId val="15360168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36954211"/>
      </c:catAx>
      <c:valAx>
        <c:axId val="7369542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36016815"/>
      </c:valAx>
    </c:plotArea>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3'!$O$2:$O$10</c:f>
            </c:strRef>
          </c:cat>
          <c:val>
            <c:numRef>
              <c:f>'State Senator, Dist 3'!$P$2:$P$10</c:f>
              <c:numCache/>
            </c:numRef>
          </c:val>
        </c:ser>
        <c:axId val="1615932686"/>
        <c:axId val="18003986"/>
      </c:barChart>
      <c:catAx>
        <c:axId val="16159326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003986"/>
      </c:catAx>
      <c:valAx>
        <c:axId val="180039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5932686"/>
      </c:valAx>
    </c:plotArea>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3'!$O$14:$O$34</c:f>
            </c:strRef>
          </c:cat>
          <c:val>
            <c:numRef>
              <c:f>'State Senator, Dist 3'!$P$14:$P$34</c:f>
              <c:numCache/>
            </c:numRef>
          </c:val>
        </c:ser>
        <c:axId val="315438501"/>
        <c:axId val="1658324711"/>
      </c:barChart>
      <c:catAx>
        <c:axId val="3154385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58324711"/>
      </c:catAx>
      <c:valAx>
        <c:axId val="16583247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5438501"/>
      </c:valAx>
    </c:plotArea>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3'!$O$42:$O$46</c:f>
            </c:strRef>
          </c:cat>
          <c:val>
            <c:numRef>
              <c:f>'State Senator, Dist 3'!$P$42:$P$46</c:f>
              <c:numCache/>
            </c:numRef>
          </c:val>
        </c:ser>
        <c:axId val="528630344"/>
        <c:axId val="357057201"/>
      </c:barChart>
      <c:catAx>
        <c:axId val="5286303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57057201"/>
      </c:catAx>
      <c:valAx>
        <c:axId val="3570572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8630344"/>
      </c:valAx>
    </c:plotArea>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4'!$A$5:$A$7</c:f>
            </c:strRef>
          </c:cat>
          <c:val>
            <c:numRef>
              <c:f>'State Senator, Dist 4'!$B$5:$B$7</c:f>
              <c:numCache/>
            </c:numRef>
          </c:val>
        </c:ser>
        <c:axId val="1543955435"/>
        <c:axId val="1312192244"/>
      </c:barChart>
      <c:catAx>
        <c:axId val="15439554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12192244"/>
      </c:catAx>
      <c:valAx>
        <c:axId val="13121922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43955435"/>
      </c:valAx>
    </c:plotArea>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Senator, Dist 4'!$A$15:$A$17</c:f>
            </c:strRef>
          </c:cat>
          <c:val>
            <c:numRef>
              <c:f>'State Senator, Dist 4'!$B$15:$B$17</c:f>
              <c:numCache/>
            </c:numRef>
          </c:val>
        </c:ser>
        <c:axId val="1293722710"/>
        <c:axId val="781355763"/>
      </c:barChart>
      <c:catAx>
        <c:axId val="12937227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81355763"/>
      </c:catAx>
      <c:valAx>
        <c:axId val="7813557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93722710"/>
      </c:valAx>
    </c:plotArea>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4'!$A$23:$A$25</c:f>
            </c:strRef>
          </c:cat>
          <c:val>
            <c:numRef>
              <c:f>'State Senator, Dist 4'!$B$23:$B$25</c:f>
              <c:numCache/>
            </c:numRef>
          </c:val>
        </c:ser>
        <c:axId val="1173334485"/>
        <c:axId val="2005531048"/>
      </c:barChart>
      <c:catAx>
        <c:axId val="11733344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05531048"/>
      </c:catAx>
      <c:valAx>
        <c:axId val="20055310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73334485"/>
      </c:valAx>
    </c:plotArea>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4'!$O$2:$O$10</c:f>
            </c:strRef>
          </c:cat>
          <c:val>
            <c:numRef>
              <c:f>'State Senator, Dist 4'!$P$2:$P$10</c:f>
              <c:numCache/>
            </c:numRef>
          </c:val>
        </c:ser>
        <c:axId val="517400034"/>
        <c:axId val="686166178"/>
      </c:barChart>
      <c:catAx>
        <c:axId val="5174000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86166178"/>
      </c:catAx>
      <c:valAx>
        <c:axId val="6861661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7400034"/>
      </c:valAx>
    </c:plotArea>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4'!$O$14:$O$34</c:f>
            </c:strRef>
          </c:cat>
          <c:val>
            <c:numRef>
              <c:f>'State Senator, Dist 4'!$P$14:$P$34</c:f>
              <c:numCache/>
            </c:numRef>
          </c:val>
        </c:ser>
        <c:axId val="757631653"/>
        <c:axId val="722069487"/>
      </c:barChart>
      <c:catAx>
        <c:axId val="7576316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22069487"/>
      </c:catAx>
      <c:valAx>
        <c:axId val="7220694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7631653"/>
      </c:valAx>
    </c:plotArea>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4'!$O$42:$O$46</c:f>
            </c:strRef>
          </c:cat>
          <c:val>
            <c:numRef>
              <c:f>'State Senator, Dist 4'!$P$42:$P$46</c:f>
              <c:numCache/>
            </c:numRef>
          </c:val>
        </c:ser>
        <c:axId val="895014205"/>
        <c:axId val="1114447756"/>
      </c:barChart>
      <c:catAx>
        <c:axId val="8950142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14447756"/>
      </c:catAx>
      <c:valAx>
        <c:axId val="11144477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5014205"/>
      </c:valAx>
    </c:plotArea>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5'!$A$5:$A$7</c:f>
            </c:strRef>
          </c:cat>
          <c:val>
            <c:numRef>
              <c:f>'State Senator, Dist 5'!$B$5:$B$7</c:f>
              <c:numCache/>
            </c:numRef>
          </c:val>
        </c:ser>
        <c:axId val="1177961682"/>
        <c:axId val="1524464658"/>
      </c:barChart>
      <c:catAx>
        <c:axId val="11779616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24464658"/>
      </c:catAx>
      <c:valAx>
        <c:axId val="15244646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77961682"/>
      </c:valAx>
    </c:plotArea>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5'!$O$2:$O$10</c:f>
            </c:strRef>
          </c:cat>
          <c:val>
            <c:numRef>
              <c:f>'State Senator, Dist 5'!$P$2:$P$10</c:f>
              <c:numCache/>
            </c:numRef>
          </c:val>
        </c:ser>
        <c:axId val="2054582915"/>
        <c:axId val="1676057513"/>
      </c:barChart>
      <c:catAx>
        <c:axId val="20545829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76057513"/>
      </c:catAx>
      <c:valAx>
        <c:axId val="16760575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4582915"/>
      </c:valAx>
    </c:plotArea>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5'!$O$14:$O$34</c:f>
            </c:strRef>
          </c:cat>
          <c:val>
            <c:numRef>
              <c:f>'State Senator, Dist 5'!$P$14:$P$34</c:f>
              <c:numCache/>
            </c:numRef>
          </c:val>
        </c:ser>
        <c:axId val="20935529"/>
        <c:axId val="1637689826"/>
      </c:barChart>
      <c:catAx>
        <c:axId val="209355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37689826"/>
      </c:catAx>
      <c:valAx>
        <c:axId val="16376898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35529"/>
      </c:valAx>
    </c:plotArea>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5'!$O$38:$O$42</c:f>
            </c:strRef>
          </c:cat>
          <c:val>
            <c:numRef>
              <c:f>'State Senator, Dist 5'!$P$38:$P$42</c:f>
              <c:numCache/>
            </c:numRef>
          </c:val>
        </c:ser>
        <c:axId val="2023650190"/>
        <c:axId val="264836954"/>
      </c:barChart>
      <c:catAx>
        <c:axId val="20236501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64836954"/>
      </c:catAx>
      <c:valAx>
        <c:axId val="2648369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3650190"/>
      </c:valAx>
    </c:plotArea>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Senator, Dist 6'!$A$5:$A$7</c:f>
            </c:strRef>
          </c:cat>
          <c:val>
            <c:numRef>
              <c:f>'State Senator, Dist 6'!$B$5:$B$7</c:f>
              <c:numCache/>
            </c:numRef>
          </c:val>
        </c:ser>
        <c:axId val="1188722752"/>
        <c:axId val="602013353"/>
      </c:barChart>
      <c:catAx>
        <c:axId val="11887227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02013353"/>
      </c:catAx>
      <c:valAx>
        <c:axId val="6020133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88722752"/>
      </c:valAx>
    </c:plotArea>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6'!$A$13:$A$15</c:f>
            </c:strRef>
          </c:cat>
          <c:val>
            <c:numRef>
              <c:f>'State Senator, Dist 6'!$B$13:$B$15</c:f>
              <c:numCache/>
            </c:numRef>
          </c:val>
        </c:ser>
        <c:axId val="168929518"/>
        <c:axId val="1056599636"/>
      </c:barChart>
      <c:catAx>
        <c:axId val="1689295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56599636"/>
      </c:catAx>
      <c:valAx>
        <c:axId val="10565996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68929518"/>
      </c:valAx>
    </c:plotArea>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(Green)</a:t>
            </a:r>
          </a:p>
        </c:rich>
      </c:tx>
      <c:overlay val="0"/>
    </c:title>
    <c:plotArea>
      <c:layout/>
      <c:barChart>
        <c:barDir val="col"/>
        <c:ser>
          <c:idx val="0"/>
          <c:order val="0"/>
          <c:spPr>
            <a:solidFill>
              <a:schemeClr val="accent1"/>
            </a:solidFill>
            <a:ln cmpd="sng">
              <a:solidFill>
                <a:srgbClr val="000000"/>
              </a:solidFill>
            </a:ln>
          </c:spPr>
          <c:cat>
            <c:strRef>
              <c:f>'State Senator, Dist 6'!$A$23:$A$25</c:f>
            </c:strRef>
          </c:cat>
          <c:val>
            <c:numRef>
              <c:f>'State Senator, Dist 6'!$B$23:$B$25</c:f>
              <c:numCache/>
            </c:numRef>
          </c:val>
        </c:ser>
        <c:axId val="514851074"/>
        <c:axId val="2093773043"/>
      </c:barChart>
      <c:catAx>
        <c:axId val="5148510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93773043"/>
      </c:catAx>
      <c:valAx>
        <c:axId val="20937730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14851074"/>
      </c:valAx>
    </c:plotArea>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Senator, Dist 6'!$A$31:$A$34</c:f>
            </c:strRef>
          </c:cat>
          <c:val>
            <c:numRef>
              <c:f>'State Senator, Dist 6'!$B$31:$B$34</c:f>
              <c:numCache/>
            </c:numRef>
          </c:val>
        </c:ser>
        <c:axId val="1661678194"/>
        <c:axId val="85747586"/>
      </c:barChart>
      <c:catAx>
        <c:axId val="16616781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5747586"/>
      </c:catAx>
      <c:valAx>
        <c:axId val="857475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661678194"/>
      </c:valAx>
    </c:plotArea>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6'!$A$40:$A$44</c:f>
            </c:strRef>
          </c:cat>
          <c:val>
            <c:numRef>
              <c:f>'State Senator, Dist 6'!$B$40:$B$44</c:f>
              <c:numCache/>
            </c:numRef>
          </c:val>
        </c:ser>
        <c:axId val="1410370451"/>
        <c:axId val="446516419"/>
      </c:barChart>
      <c:catAx>
        <c:axId val="14103704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446516419"/>
      </c:catAx>
      <c:valAx>
        <c:axId val="4465164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10370451"/>
      </c:valAx>
    </c:plotArea>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6'!$O$2:$O$10</c:f>
            </c:strRef>
          </c:cat>
          <c:val>
            <c:numRef>
              <c:f>'State Senator, Dist 6'!$P$2:$P$10</c:f>
              <c:numCache/>
            </c:numRef>
          </c:val>
        </c:ser>
        <c:axId val="2016922829"/>
        <c:axId val="2012056999"/>
      </c:barChart>
      <c:catAx>
        <c:axId val="20169228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012056999"/>
      </c:catAx>
      <c:valAx>
        <c:axId val="20120569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6922829"/>
      </c:valAx>
    </c:plotArea>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6'!$O$14:$O$34</c:f>
            </c:strRef>
          </c:cat>
          <c:val>
            <c:numRef>
              <c:f>'State Senator, Dist 6'!$P$14:$P$34</c:f>
              <c:numCache/>
            </c:numRef>
          </c:val>
        </c:ser>
        <c:axId val="1685612896"/>
        <c:axId val="2030150099"/>
      </c:barChart>
      <c:catAx>
        <c:axId val="16856128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030150099"/>
      </c:catAx>
      <c:valAx>
        <c:axId val="20301500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5612896"/>
      </c:valAx>
    </c:plotArea>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6'!$O$42:$O$46</c:f>
            </c:strRef>
          </c:cat>
          <c:val>
            <c:numRef>
              <c:f>'State Senator, Dist 6'!$P$42:$P$46</c:f>
              <c:numCache/>
            </c:numRef>
          </c:val>
        </c:ser>
        <c:axId val="2080455538"/>
        <c:axId val="1554041731"/>
      </c:barChart>
      <c:catAx>
        <c:axId val="20804555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554041731"/>
      </c:catAx>
      <c:valAx>
        <c:axId val="15540417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0455538"/>
      </c:valAx>
    </c:plotArea>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Senator, Dist 7'!$A$5:$A$7</c:f>
            </c:strRef>
          </c:cat>
          <c:val>
            <c:numRef>
              <c:f>'State Senator, Dist 7'!$B$5:$B$7</c:f>
              <c:numCache/>
            </c:numRef>
          </c:val>
        </c:ser>
        <c:axId val="1343328030"/>
        <c:axId val="119043019"/>
      </c:barChart>
      <c:catAx>
        <c:axId val="13433280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9043019"/>
      </c:catAx>
      <c:valAx>
        <c:axId val="1190430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43328030"/>
      </c:valAx>
    </c:plotArea>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7'!$A$13:$A$15</c:f>
            </c:strRef>
          </c:cat>
          <c:val>
            <c:numRef>
              <c:f>'State Senator, Dist 7'!$B$13:$B$15</c:f>
              <c:numCache/>
            </c:numRef>
          </c:val>
        </c:ser>
        <c:axId val="1798774060"/>
        <c:axId val="294036700"/>
      </c:barChart>
      <c:catAx>
        <c:axId val="17987740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94036700"/>
      </c:catAx>
      <c:valAx>
        <c:axId val="2940367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98774060"/>
      </c:valAx>
    </c:plotArea>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Senator, Dist 7'!$A$23:$A$25</c:f>
            </c:strRef>
          </c:cat>
          <c:val>
            <c:numRef>
              <c:f>'State Senator, Dist 7'!$B$23:$B$25</c:f>
              <c:numCache/>
            </c:numRef>
          </c:val>
        </c:ser>
        <c:axId val="462240771"/>
        <c:axId val="161003830"/>
      </c:barChart>
      <c:catAx>
        <c:axId val="4622407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1003830"/>
      </c:catAx>
      <c:valAx>
        <c:axId val="1610038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62240771"/>
      </c:valAx>
    </c:plotArea>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7'!$A$31:$A$35</c:f>
            </c:strRef>
          </c:cat>
          <c:val>
            <c:numRef>
              <c:f>'State Senator, Dist 7'!$B$31:$B$35</c:f>
              <c:numCache/>
            </c:numRef>
          </c:val>
        </c:ser>
        <c:axId val="278959979"/>
        <c:axId val="1733950883"/>
      </c:barChart>
      <c:catAx>
        <c:axId val="2789599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33950883"/>
      </c:catAx>
      <c:valAx>
        <c:axId val="17339508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78959979"/>
      </c:valAx>
    </c:plotArea>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7'!$O$2:$O$10</c:f>
            </c:strRef>
          </c:cat>
          <c:val>
            <c:numRef>
              <c:f>'State Senator, Dist 7'!$P$2:$P$10</c:f>
              <c:numCache/>
            </c:numRef>
          </c:val>
        </c:ser>
        <c:axId val="2104217636"/>
        <c:axId val="634327507"/>
      </c:barChart>
      <c:catAx>
        <c:axId val="21042176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34327507"/>
      </c:catAx>
      <c:valAx>
        <c:axId val="6343275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4217636"/>
      </c:valAx>
    </c:plotArea>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7'!$O$14:$O$34</c:f>
            </c:strRef>
          </c:cat>
          <c:val>
            <c:numRef>
              <c:f>'State Senator, Dist 7'!$P$14:$P$34</c:f>
              <c:numCache/>
            </c:numRef>
          </c:val>
        </c:ser>
        <c:axId val="1110969883"/>
        <c:axId val="2010748390"/>
      </c:barChart>
      <c:catAx>
        <c:axId val="11109698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010748390"/>
      </c:catAx>
      <c:valAx>
        <c:axId val="2010748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0969883"/>
      </c:valAx>
    </c:plotArea>
  </c:chart>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7'!$O$42:$O$46</c:f>
            </c:strRef>
          </c:cat>
          <c:val>
            <c:numRef>
              <c:f>'State Senator, Dist 7'!$P$42:$P$46</c:f>
              <c:numCache/>
            </c:numRef>
          </c:val>
        </c:ser>
        <c:axId val="1752461465"/>
        <c:axId val="1065012450"/>
      </c:barChart>
      <c:catAx>
        <c:axId val="1752461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65012450"/>
      </c:catAx>
      <c:valAx>
        <c:axId val="1065012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2461465"/>
      </c:valAx>
    </c:plotArea>
  </c:chart>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8'!$A$21:$A$26</c:f>
            </c:strRef>
          </c:cat>
          <c:val>
            <c:numRef>
              <c:f>'State Senator, Dist 8'!$B$21:$B$26</c:f>
              <c:numCache/>
            </c:numRef>
          </c:val>
        </c:ser>
        <c:axId val="1941036529"/>
        <c:axId val="731432970"/>
      </c:barChart>
      <c:catAx>
        <c:axId val="19410365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31432970"/>
      </c:catAx>
      <c:valAx>
        <c:axId val="731432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1036529"/>
      </c:valAx>
    </c:plotArea>
  </c:chart>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8'!$R$2:$R$10</c:f>
            </c:strRef>
          </c:cat>
          <c:val>
            <c:numRef>
              <c:f>'State Senator, Dist 8'!$S$2:$S$10</c:f>
              <c:numCache/>
            </c:numRef>
          </c:val>
        </c:ser>
        <c:axId val="1606932110"/>
        <c:axId val="615930377"/>
      </c:barChart>
      <c:catAx>
        <c:axId val="16069321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15930377"/>
      </c:catAx>
      <c:valAx>
        <c:axId val="6159303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6932110"/>
      </c:valAx>
    </c:plotArea>
  </c:chart>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8'!$R$14:$R$34</c:f>
            </c:strRef>
          </c:cat>
          <c:val>
            <c:numRef>
              <c:f>'State Senator, Dist 8'!$S$14:$S$34</c:f>
              <c:numCache/>
            </c:numRef>
          </c:val>
        </c:ser>
        <c:axId val="1456752276"/>
        <c:axId val="43989385"/>
      </c:barChart>
      <c:catAx>
        <c:axId val="14567522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3989385"/>
      </c:catAx>
      <c:valAx>
        <c:axId val="439893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6752276"/>
      </c:valAx>
    </c:plotArea>
  </c:chart>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8'!$R$42:$R$46</c:f>
            </c:strRef>
          </c:cat>
          <c:val>
            <c:numRef>
              <c:f>'State Senator, Dist 8'!$S$42:$S$46</c:f>
              <c:numCache/>
            </c:numRef>
          </c:val>
        </c:ser>
        <c:axId val="677203677"/>
        <c:axId val="1752694066"/>
      </c:barChart>
      <c:catAx>
        <c:axId val="6772036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52694066"/>
      </c:catAx>
      <c:valAx>
        <c:axId val="1752694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7203677"/>
      </c:valAx>
    </c:plotArea>
  </c:chart>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9'!$A$21:$A$26</c:f>
            </c:strRef>
          </c:cat>
          <c:val>
            <c:numRef>
              <c:f>'State Senator, Dist 9'!$B$21:$B$26</c:f>
              <c:numCache/>
            </c:numRef>
          </c:val>
        </c:ser>
        <c:axId val="1404497193"/>
        <c:axId val="96515755"/>
      </c:barChart>
      <c:catAx>
        <c:axId val="14044971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6515755"/>
      </c:catAx>
      <c:valAx>
        <c:axId val="965157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4497193"/>
      </c:valAx>
    </c:plotArea>
  </c:chart>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9'!$O$2:$O$10</c:f>
            </c:strRef>
          </c:cat>
          <c:val>
            <c:numRef>
              <c:f>'State Senator, Dist 9'!$P$2:$P$10</c:f>
              <c:numCache/>
            </c:numRef>
          </c:val>
        </c:ser>
        <c:axId val="124824392"/>
        <c:axId val="1489504104"/>
      </c:barChart>
      <c:catAx>
        <c:axId val="124824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89504104"/>
      </c:catAx>
      <c:valAx>
        <c:axId val="14895041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824392"/>
      </c:valAx>
    </c:plotArea>
  </c:chart>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9'!$O$14:$O$34</c:f>
            </c:strRef>
          </c:cat>
          <c:val>
            <c:numRef>
              <c:f>'State Senator, Dist 9'!$P$14:$P$34</c:f>
              <c:numCache/>
            </c:numRef>
          </c:val>
        </c:ser>
        <c:axId val="1277700746"/>
        <c:axId val="1689646785"/>
      </c:barChart>
      <c:catAx>
        <c:axId val="12777007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89646785"/>
      </c:catAx>
      <c:valAx>
        <c:axId val="16896467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7700746"/>
      </c:valAx>
    </c:plotArea>
  </c:chart>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9'!$O$42:$O$46</c:f>
            </c:strRef>
          </c:cat>
          <c:val>
            <c:numRef>
              <c:f>'State Senator, Dist 9'!$P$42:$P$46</c:f>
              <c:numCache/>
            </c:numRef>
          </c:val>
        </c:ser>
        <c:axId val="238340134"/>
        <c:axId val="252914463"/>
      </c:barChart>
      <c:catAx>
        <c:axId val="2383401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52914463"/>
      </c:catAx>
      <c:valAx>
        <c:axId val="2529144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8340134"/>
      </c:valAx>
    </c:plotArea>
  </c:chart>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10'!$A$21:$A$26</c:f>
            </c:strRef>
          </c:cat>
          <c:val>
            <c:numRef>
              <c:f>'State Senator, Dist 10'!$B$21:$B$26</c:f>
              <c:numCache/>
            </c:numRef>
          </c:val>
        </c:ser>
        <c:axId val="1039756547"/>
        <c:axId val="155953479"/>
      </c:barChart>
      <c:catAx>
        <c:axId val="10397565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55953479"/>
      </c:catAx>
      <c:valAx>
        <c:axId val="155953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9756547"/>
      </c:valAx>
    </c:plotArea>
  </c:chart>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10'!$P$2:$P$10</c:f>
            </c:strRef>
          </c:cat>
          <c:val>
            <c:numRef>
              <c:f>'State Senator, Dist 10'!$Q$2:$Q$10</c:f>
              <c:numCache/>
            </c:numRef>
          </c:val>
        </c:ser>
        <c:axId val="503385694"/>
        <c:axId val="222752522"/>
      </c:barChart>
      <c:catAx>
        <c:axId val="5033856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22752522"/>
      </c:catAx>
      <c:valAx>
        <c:axId val="2227525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3385694"/>
      </c:valAx>
    </c:plotArea>
  </c:chart>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10'!$P$14:$P$34</c:f>
            </c:strRef>
          </c:cat>
          <c:val>
            <c:numRef>
              <c:f>'State Senator, Dist 10'!$Q$14:$Q$34</c:f>
              <c:numCache/>
            </c:numRef>
          </c:val>
        </c:ser>
        <c:axId val="769773350"/>
        <c:axId val="1973618682"/>
      </c:barChart>
      <c:catAx>
        <c:axId val="7697733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973618682"/>
      </c:catAx>
      <c:valAx>
        <c:axId val="19736186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9773350"/>
      </c:valAx>
    </c:plotArea>
  </c:chart>
</c:chartSpace>
</file>

<file path=xl/charts/chart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10'!$P$42:$P$46</c:f>
            </c:strRef>
          </c:cat>
          <c:val>
            <c:numRef>
              <c:f>'State Senator, Dist 10'!$Q$42:$Q$46</c:f>
              <c:numCache/>
            </c:numRef>
          </c:val>
        </c:ser>
        <c:axId val="660649789"/>
        <c:axId val="827308992"/>
      </c:barChart>
      <c:catAx>
        <c:axId val="6606497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27308992"/>
      </c:catAx>
      <c:valAx>
        <c:axId val="827308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0649789"/>
      </c:valAx>
    </c:plotArea>
  </c:chart>
</c:chartSpace>
</file>

<file path=xl/charts/chart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11'!$A$21:$A$26</c:f>
            </c:strRef>
          </c:cat>
          <c:val>
            <c:numRef>
              <c:f>'State Senator, Dist 11'!$B$21:$B$26</c:f>
              <c:numCache/>
            </c:numRef>
          </c:val>
        </c:ser>
        <c:axId val="1304063867"/>
        <c:axId val="1812910354"/>
      </c:barChart>
      <c:catAx>
        <c:axId val="13040638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12910354"/>
      </c:catAx>
      <c:valAx>
        <c:axId val="18129103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4063867"/>
      </c:valAx>
    </c:plotArea>
  </c:chart>
</c:chartSpace>
</file>

<file path=xl/charts/chart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11'!$Q$2:$Q$10</c:f>
            </c:strRef>
          </c:cat>
          <c:val>
            <c:numRef>
              <c:f>'State Senator, Dist 11'!$R$2:$R$10</c:f>
              <c:numCache/>
            </c:numRef>
          </c:val>
        </c:ser>
        <c:axId val="778557332"/>
        <c:axId val="1730518166"/>
      </c:barChart>
      <c:catAx>
        <c:axId val="7785573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30518166"/>
      </c:catAx>
      <c:valAx>
        <c:axId val="17305181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8557332"/>
      </c:valAx>
    </c:plotArea>
  </c:chart>
</c:chartSpace>
</file>

<file path=xl/charts/chart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11'!$Q$14:$Q$34</c:f>
            </c:strRef>
          </c:cat>
          <c:val>
            <c:numRef>
              <c:f>'State Senator, Dist 11'!$R$14:$R$34</c:f>
              <c:numCache/>
            </c:numRef>
          </c:val>
        </c:ser>
        <c:axId val="1354243994"/>
        <c:axId val="1829035680"/>
      </c:barChart>
      <c:catAx>
        <c:axId val="13542439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29035680"/>
      </c:catAx>
      <c:valAx>
        <c:axId val="18290356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4243994"/>
      </c:valAx>
    </c:plotArea>
  </c:chart>
</c:chartSpace>
</file>

<file path=xl/charts/chart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11'!$Q$42:$Q$46</c:f>
            </c:strRef>
          </c:cat>
          <c:val>
            <c:numRef>
              <c:f>'State Senator, Dist 11'!$R$42:$R$46</c:f>
              <c:numCache/>
            </c:numRef>
          </c:val>
        </c:ser>
        <c:axId val="1447333387"/>
        <c:axId val="1887297672"/>
      </c:barChart>
      <c:catAx>
        <c:axId val="1447333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87297672"/>
      </c:catAx>
      <c:valAx>
        <c:axId val="1887297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7333387"/>
      </c:valAx>
    </c:plotArea>
  </c:chart>
</c:chartSpace>
</file>

<file path=xl/charts/chart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Senator, Dist 12'!$A$5:$A$7</c:f>
            </c:strRef>
          </c:cat>
          <c:val>
            <c:numRef>
              <c:f>'State Senator, Dist 12'!$B$5:$B$7</c:f>
              <c:numCache/>
            </c:numRef>
          </c:val>
        </c:ser>
        <c:axId val="1562445051"/>
        <c:axId val="1248340946"/>
      </c:barChart>
      <c:catAx>
        <c:axId val="15624450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48340946"/>
      </c:catAx>
      <c:valAx>
        <c:axId val="12483409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62445051"/>
      </c:valAx>
    </c:plotArea>
  </c:chart>
</c:chartSpace>
</file>

<file path=xl/charts/chart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12'!$A$13:$A$15</c:f>
            </c:strRef>
          </c:cat>
          <c:val>
            <c:numRef>
              <c:f>'State Senator, Dist 12'!$B$13:$B$15</c:f>
              <c:numCache/>
            </c:numRef>
          </c:val>
        </c:ser>
        <c:axId val="607880623"/>
        <c:axId val="1560760778"/>
      </c:barChart>
      <c:catAx>
        <c:axId val="6078806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60760778"/>
      </c:catAx>
      <c:valAx>
        <c:axId val="15607607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07880623"/>
      </c:valAx>
    </c:plotArea>
  </c:chart>
</c:chartSpace>
</file>

<file path=xl/charts/chart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Senator, Dist 12'!$A$23:$A$25</c:f>
            </c:strRef>
          </c:cat>
          <c:val>
            <c:numRef>
              <c:f>'State Senator, Dist 12'!$B$23:$B$25</c:f>
              <c:numCache/>
            </c:numRef>
          </c:val>
        </c:ser>
        <c:axId val="1424874562"/>
        <c:axId val="298557209"/>
      </c:barChart>
      <c:catAx>
        <c:axId val="14248745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98557209"/>
      </c:catAx>
      <c:valAx>
        <c:axId val="2985572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24874562"/>
      </c:valAx>
    </c:plotArea>
  </c:chart>
</c:chartSpace>
</file>

<file path=xl/charts/chart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12'!$A$31:$A$33</c:f>
            </c:strRef>
          </c:cat>
          <c:val>
            <c:numRef>
              <c:f>'State Senator, Dist 12'!$B$31:$B$33</c:f>
              <c:numCache/>
            </c:numRef>
          </c:val>
        </c:ser>
        <c:axId val="862074107"/>
        <c:axId val="1737207287"/>
      </c:barChart>
      <c:catAx>
        <c:axId val="8620741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37207287"/>
      </c:catAx>
      <c:valAx>
        <c:axId val="17372072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862074107"/>
      </c:valAx>
    </c:plotArea>
  </c:chart>
</c:chartSpace>
</file>

<file path=xl/charts/chart6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12'!$O$2:$O$10</c:f>
            </c:strRef>
          </c:cat>
          <c:val>
            <c:numRef>
              <c:f>'State Senator, Dist 12'!$P$2:$P$10</c:f>
              <c:numCache/>
            </c:numRef>
          </c:val>
        </c:ser>
        <c:axId val="2008953856"/>
        <c:axId val="1514928560"/>
      </c:barChart>
      <c:catAx>
        <c:axId val="20089538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514928560"/>
      </c:catAx>
      <c:valAx>
        <c:axId val="15149285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8953856"/>
      </c:valAx>
    </c:plotArea>
  </c:chart>
</c:chartSpace>
</file>

<file path=xl/charts/chart6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12'!$O$14:$O$34</c:f>
            </c:strRef>
          </c:cat>
          <c:val>
            <c:numRef>
              <c:f>'State Senator, Dist 12'!$P$14:$P$34</c:f>
              <c:numCache/>
            </c:numRef>
          </c:val>
        </c:ser>
        <c:axId val="956984611"/>
        <c:axId val="83234487"/>
      </c:barChart>
      <c:catAx>
        <c:axId val="956984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3234487"/>
      </c:catAx>
      <c:valAx>
        <c:axId val="832344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6984611"/>
      </c:valAx>
    </c:plotArea>
  </c:chart>
</c:chartSpace>
</file>

<file path=xl/charts/chart6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12'!$O$42:$O$46</c:f>
            </c:strRef>
          </c:cat>
          <c:val>
            <c:numRef>
              <c:f>'State Senator, Dist 12'!$P$42:$P$46</c:f>
              <c:numCache/>
            </c:numRef>
          </c:val>
        </c:ser>
        <c:axId val="1369065156"/>
        <c:axId val="852770372"/>
      </c:barChart>
      <c:catAx>
        <c:axId val="13690651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52770372"/>
      </c:catAx>
      <c:valAx>
        <c:axId val="8527703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9065156"/>
      </c:valAx>
    </c:plotArea>
  </c:chart>
</c:chartSpace>
</file>

<file path=xl/charts/chart6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13'!$A$21:$A$27</c:f>
            </c:strRef>
          </c:cat>
          <c:val>
            <c:numRef>
              <c:f>'State Senator, Dist 13'!$B$21:$B$27</c:f>
              <c:numCache/>
            </c:numRef>
          </c:val>
        </c:ser>
        <c:axId val="1845701208"/>
        <c:axId val="264719062"/>
      </c:barChart>
      <c:catAx>
        <c:axId val="18457012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64719062"/>
      </c:catAx>
      <c:valAx>
        <c:axId val="2647190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5701208"/>
      </c:valAx>
    </c:plotArea>
  </c:chart>
</c:chartSpace>
</file>

<file path=xl/charts/chart6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13'!$P$2:$P$10</c:f>
            </c:strRef>
          </c:cat>
          <c:val>
            <c:numRef>
              <c:f>'State Senator, Dist 13'!$Q$2:$Q$10</c:f>
              <c:numCache/>
            </c:numRef>
          </c:val>
        </c:ser>
        <c:axId val="1117942085"/>
        <c:axId val="54034658"/>
      </c:barChart>
      <c:catAx>
        <c:axId val="11179420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4034658"/>
      </c:catAx>
      <c:valAx>
        <c:axId val="540346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7942085"/>
      </c:valAx>
    </c:plotArea>
  </c:chart>
</c:chartSpace>
</file>

<file path=xl/charts/chart6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13'!$P$14:$P$34</c:f>
            </c:strRef>
          </c:cat>
          <c:val>
            <c:numRef>
              <c:f>'State Senator, Dist 13'!$Q$14:$Q$34</c:f>
              <c:numCache/>
            </c:numRef>
          </c:val>
        </c:ser>
        <c:axId val="1892752844"/>
        <c:axId val="919611765"/>
      </c:barChart>
      <c:catAx>
        <c:axId val="18927528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19611765"/>
      </c:catAx>
      <c:valAx>
        <c:axId val="9196117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2752844"/>
      </c:valAx>
    </c:plotArea>
  </c:chart>
</c:chartSpace>
</file>

<file path=xl/charts/chart6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13'!$P$42:$P$46</c:f>
            </c:strRef>
          </c:cat>
          <c:val>
            <c:numRef>
              <c:f>'State Senator, Dist 13'!$Q$42:$Q$46</c:f>
              <c:numCache/>
            </c:numRef>
          </c:val>
        </c:ser>
        <c:axId val="1924947210"/>
        <c:axId val="1408858844"/>
      </c:barChart>
      <c:catAx>
        <c:axId val="19249472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08858844"/>
      </c:catAx>
      <c:valAx>
        <c:axId val="14088588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4947210"/>
      </c:valAx>
    </c:plotArea>
  </c:chart>
</c:chartSpace>
</file>

<file path=xl/charts/chart6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14'!$A$21:$A$26</c:f>
            </c:strRef>
          </c:cat>
          <c:val>
            <c:numRef>
              <c:f>'State Senator, Dist 14'!$B$21:$B$26</c:f>
              <c:numCache/>
            </c:numRef>
          </c:val>
        </c:ser>
        <c:axId val="2030888276"/>
        <c:axId val="283377808"/>
      </c:barChart>
      <c:catAx>
        <c:axId val="20308882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83377808"/>
      </c:catAx>
      <c:valAx>
        <c:axId val="2833778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0888276"/>
      </c:valAx>
    </c:plotArea>
  </c:chart>
</c:chartSpace>
</file>

<file path=xl/charts/chart7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14'!$P$2:$P$10</c:f>
            </c:strRef>
          </c:cat>
          <c:val>
            <c:numRef>
              <c:f>'State Senator, Dist 14'!$Q$2:$Q$10</c:f>
              <c:numCache/>
            </c:numRef>
          </c:val>
        </c:ser>
        <c:axId val="952083239"/>
        <c:axId val="1496811897"/>
      </c:barChart>
      <c:catAx>
        <c:axId val="9520832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96811897"/>
      </c:catAx>
      <c:valAx>
        <c:axId val="14968118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2083239"/>
      </c:valAx>
    </c:plotArea>
  </c:chart>
</c:chartSpace>
</file>

<file path=xl/charts/chart7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14'!$P$14:$P$34</c:f>
            </c:strRef>
          </c:cat>
          <c:val>
            <c:numRef>
              <c:f>'State Senator, Dist 14'!$Q$14:$Q$34</c:f>
              <c:numCache/>
            </c:numRef>
          </c:val>
        </c:ser>
        <c:axId val="2068169509"/>
        <c:axId val="1912914953"/>
      </c:barChart>
      <c:catAx>
        <c:axId val="2068169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912914953"/>
      </c:catAx>
      <c:valAx>
        <c:axId val="19129149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8169509"/>
      </c:valAx>
    </c:plotArea>
  </c:chart>
</c:chartSpace>
</file>

<file path=xl/charts/chart7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14'!$P$42:$P$46</c:f>
            </c:strRef>
          </c:cat>
          <c:val>
            <c:numRef>
              <c:f>'State Senator, Dist 14'!$Q$42:$Q$46</c:f>
              <c:numCache/>
            </c:numRef>
          </c:val>
        </c:ser>
        <c:axId val="1336043841"/>
        <c:axId val="1874718246"/>
      </c:barChart>
      <c:catAx>
        <c:axId val="13360438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74718246"/>
      </c:catAx>
      <c:valAx>
        <c:axId val="18747182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6043841"/>
      </c:valAx>
    </c:plotArea>
  </c:chart>
</c:chartSpace>
</file>

<file path=xl/charts/chart7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15'!$A$21:$A$25</c:f>
            </c:strRef>
          </c:cat>
          <c:val>
            <c:numRef>
              <c:f>'State Senator, Dist 15'!$B$21:$B$25</c:f>
              <c:numCache/>
            </c:numRef>
          </c:val>
        </c:ser>
        <c:axId val="376300097"/>
        <c:axId val="1397877488"/>
      </c:barChart>
      <c:catAx>
        <c:axId val="3763000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97877488"/>
      </c:catAx>
      <c:valAx>
        <c:axId val="13978774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6300097"/>
      </c:valAx>
    </c:plotArea>
  </c:chart>
</c:chartSpace>
</file>

<file path=xl/charts/chart7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15'!$Q$2:$Q$10</c:f>
            </c:strRef>
          </c:cat>
          <c:val>
            <c:numRef>
              <c:f>'State Senator, Dist 15'!$R$2:$R$10</c:f>
              <c:numCache/>
            </c:numRef>
          </c:val>
        </c:ser>
        <c:axId val="1714394379"/>
        <c:axId val="740196707"/>
      </c:barChart>
      <c:catAx>
        <c:axId val="17143943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40196707"/>
      </c:catAx>
      <c:valAx>
        <c:axId val="7401967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4394379"/>
      </c:valAx>
    </c:plotArea>
  </c:chart>
</c:chartSpace>
</file>

<file path=xl/charts/chart7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15'!$Q$14:$Q$34</c:f>
            </c:strRef>
          </c:cat>
          <c:val>
            <c:numRef>
              <c:f>'State Senator, Dist 15'!$R$14:$R$34</c:f>
              <c:numCache/>
            </c:numRef>
          </c:val>
        </c:ser>
        <c:axId val="1065053751"/>
        <c:axId val="1710457596"/>
      </c:barChart>
      <c:catAx>
        <c:axId val="10650537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10457596"/>
      </c:catAx>
      <c:valAx>
        <c:axId val="17104575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5053751"/>
      </c:valAx>
    </c:plotArea>
  </c:chart>
</c:chartSpace>
</file>

<file path=xl/charts/chart7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15'!$Q$42:$Q$46</c:f>
            </c:strRef>
          </c:cat>
          <c:val>
            <c:numRef>
              <c:f>'State Senator, Dist 15'!$R$42:$R$46</c:f>
              <c:numCache/>
            </c:numRef>
          </c:val>
        </c:ser>
        <c:axId val="363490872"/>
        <c:axId val="83023815"/>
      </c:barChart>
      <c:catAx>
        <c:axId val="3634908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3023815"/>
      </c:catAx>
      <c:valAx>
        <c:axId val="830238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3490872"/>
      </c:valAx>
    </c:plotArea>
  </c:chart>
</c:chartSpace>
</file>

<file path=xl/charts/chart7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Senator, Dist 16'!$A$5:$A$7</c:f>
            </c:strRef>
          </c:cat>
          <c:val>
            <c:numRef>
              <c:f>'State Senator, Dist 16'!$B$5:$B$7</c:f>
              <c:numCache/>
            </c:numRef>
          </c:val>
        </c:ser>
        <c:axId val="1416954601"/>
        <c:axId val="964480474"/>
      </c:barChart>
      <c:catAx>
        <c:axId val="14169546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64480474"/>
      </c:catAx>
      <c:valAx>
        <c:axId val="9644804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16954601"/>
      </c:valAx>
    </c:plotArea>
  </c:chart>
</c:chartSpace>
</file>

<file path=xl/charts/chart7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16'!$A$13:$A$15</c:f>
            </c:strRef>
          </c:cat>
          <c:val>
            <c:numRef>
              <c:f>'State Senator, Dist 16'!$B$13:$B$15</c:f>
              <c:numCache/>
            </c:numRef>
          </c:val>
        </c:ser>
        <c:axId val="710523815"/>
        <c:axId val="1657916213"/>
      </c:barChart>
      <c:catAx>
        <c:axId val="7105238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57916213"/>
      </c:catAx>
      <c:valAx>
        <c:axId val="16579162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10523815"/>
      </c:valAx>
    </c:plotArea>
  </c:chart>
</c:chartSpace>
</file>

<file path=xl/charts/chart7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Senator, Dist 16'!$A$23:$A$25</c:f>
            </c:strRef>
          </c:cat>
          <c:val>
            <c:numRef>
              <c:f>'State Senator, Dist 16'!$B$23:$B$25</c:f>
              <c:numCache/>
            </c:numRef>
          </c:val>
        </c:ser>
        <c:axId val="282654785"/>
        <c:axId val="815328597"/>
      </c:barChart>
      <c:catAx>
        <c:axId val="2826547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15328597"/>
      </c:catAx>
      <c:valAx>
        <c:axId val="8153285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82654785"/>
      </c:valAx>
    </c:plotArea>
  </c:chart>
</c:chartSpace>
</file>

<file path=xl/charts/chart8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16'!$A$31:$A$34</c:f>
            </c:strRef>
          </c:cat>
          <c:val>
            <c:numRef>
              <c:f>'State Senator, Dist 16'!$B$31:$B$34</c:f>
              <c:numCache/>
            </c:numRef>
          </c:val>
        </c:ser>
        <c:axId val="1593218731"/>
        <c:axId val="1709638492"/>
      </c:barChart>
      <c:catAx>
        <c:axId val="15932187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09638492"/>
      </c:catAx>
      <c:valAx>
        <c:axId val="17096384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93218731"/>
      </c:valAx>
    </c:plotArea>
  </c:chart>
</c:chartSpace>
</file>

<file path=xl/charts/chart8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16'!$P$2:$P$10</c:f>
            </c:strRef>
          </c:cat>
          <c:val>
            <c:numRef>
              <c:f>'State Senator, Dist 16'!$Q$2:$Q$10</c:f>
              <c:numCache/>
            </c:numRef>
          </c:val>
        </c:ser>
        <c:axId val="493156097"/>
        <c:axId val="492245059"/>
      </c:barChart>
      <c:catAx>
        <c:axId val="4931560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92245059"/>
      </c:catAx>
      <c:valAx>
        <c:axId val="4922450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3156097"/>
      </c:valAx>
    </c:plotArea>
  </c:chart>
</c:chartSpace>
</file>

<file path=xl/charts/chart8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16'!$P$14:$P$34</c:f>
            </c:strRef>
          </c:cat>
          <c:val>
            <c:numRef>
              <c:f>'State Senator, Dist 16'!$Q$14:$Q$34</c:f>
              <c:numCache/>
            </c:numRef>
          </c:val>
        </c:ser>
        <c:axId val="1808681371"/>
        <c:axId val="2052661712"/>
      </c:barChart>
      <c:catAx>
        <c:axId val="18086813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052661712"/>
      </c:catAx>
      <c:valAx>
        <c:axId val="20526617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08681371"/>
      </c:valAx>
    </c:plotArea>
  </c:chart>
</c:chartSpace>
</file>

<file path=xl/charts/chart8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16'!$P$42:$P$46</c:f>
            </c:strRef>
          </c:cat>
          <c:val>
            <c:numRef>
              <c:f>'State Senator, Dist 16'!$Q$42:$Q$46</c:f>
              <c:numCache/>
            </c:numRef>
          </c:val>
        </c:ser>
        <c:axId val="398239523"/>
        <c:axId val="1735677312"/>
      </c:barChart>
      <c:catAx>
        <c:axId val="3982395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35677312"/>
      </c:catAx>
      <c:valAx>
        <c:axId val="17356773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8239523"/>
      </c:valAx>
    </c:plotArea>
  </c:chart>
</c:chartSpace>
</file>

<file path=xl/charts/chart8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17'!$A$21:$A$27</c:f>
            </c:strRef>
          </c:cat>
          <c:val>
            <c:numRef>
              <c:f>'State Senator, Dist 17'!$B$21:$B$27</c:f>
              <c:numCache/>
            </c:numRef>
          </c:val>
        </c:ser>
        <c:axId val="445611723"/>
        <c:axId val="1719457674"/>
      </c:barChart>
      <c:catAx>
        <c:axId val="4456117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19457674"/>
      </c:catAx>
      <c:valAx>
        <c:axId val="17194576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5611723"/>
      </c:valAx>
    </c:plotArea>
  </c:chart>
</c:chartSpace>
</file>

<file path=xl/charts/chart8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17'!$R$2:$R$10</c:f>
            </c:strRef>
          </c:cat>
          <c:val>
            <c:numRef>
              <c:f>'State Senator, Dist 17'!$S$2:$S$10</c:f>
              <c:numCache/>
            </c:numRef>
          </c:val>
        </c:ser>
        <c:axId val="888986488"/>
        <c:axId val="1648632849"/>
      </c:barChart>
      <c:catAx>
        <c:axId val="8889864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48632849"/>
      </c:catAx>
      <c:valAx>
        <c:axId val="16486328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8986488"/>
      </c:valAx>
    </c:plotArea>
  </c:chart>
</c:chartSpace>
</file>

<file path=xl/charts/chart8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17'!$R$14:$R$34</c:f>
            </c:strRef>
          </c:cat>
          <c:val>
            <c:numRef>
              <c:f>'State Senator, Dist 17'!$S$14:$S$34</c:f>
              <c:numCache/>
            </c:numRef>
          </c:val>
        </c:ser>
        <c:axId val="807061452"/>
        <c:axId val="1786787390"/>
      </c:barChart>
      <c:catAx>
        <c:axId val="8070614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86787390"/>
      </c:catAx>
      <c:valAx>
        <c:axId val="1786787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7061452"/>
      </c:valAx>
    </c:plotArea>
  </c:chart>
</c:chartSpace>
</file>

<file path=xl/charts/chart8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17'!$R$42:$R$46</c:f>
            </c:strRef>
          </c:cat>
          <c:val>
            <c:numRef>
              <c:f>'State Senator, Dist 17'!$S$42:$S$46</c:f>
              <c:numCache/>
            </c:numRef>
          </c:val>
        </c:ser>
        <c:axId val="871718465"/>
        <c:axId val="698169412"/>
      </c:barChart>
      <c:catAx>
        <c:axId val="871718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98169412"/>
      </c:catAx>
      <c:valAx>
        <c:axId val="698169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1718465"/>
      </c:valAx>
    </c:plotArea>
  </c:chart>
</c:chartSpace>
</file>

<file path=xl/charts/chart8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Senator, Dist 18'!$A$5:$A$7</c:f>
            </c:strRef>
          </c:cat>
          <c:val>
            <c:numRef>
              <c:f>'State Senator, Dist 18'!$B$5:$B$7</c:f>
              <c:numCache/>
            </c:numRef>
          </c:val>
        </c:ser>
        <c:axId val="1993272656"/>
        <c:axId val="1073808621"/>
      </c:barChart>
      <c:catAx>
        <c:axId val="19932726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73808621"/>
      </c:catAx>
      <c:valAx>
        <c:axId val="10738086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93272656"/>
      </c:valAx>
    </c:plotArea>
  </c:chart>
</c:chartSpace>
</file>

<file path=xl/charts/chart8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18'!$A$13:$A$15</c:f>
            </c:strRef>
          </c:cat>
          <c:val>
            <c:numRef>
              <c:f>'State Senator, Dist 18'!$B$13:$B$15</c:f>
              <c:numCache/>
            </c:numRef>
          </c:val>
        </c:ser>
        <c:axId val="690379322"/>
        <c:axId val="316496581"/>
      </c:barChart>
      <c:catAx>
        <c:axId val="6903793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16496581"/>
      </c:catAx>
      <c:valAx>
        <c:axId val="3164965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90379322"/>
      </c:valAx>
    </c:plotArea>
  </c:chart>
</c:chartSpace>
</file>

<file path=xl/charts/chart9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Senator, Dist 18'!$A$23:$A$26</c:f>
            </c:strRef>
          </c:cat>
          <c:val>
            <c:numRef>
              <c:f>'State Senator, Dist 18'!$B$23:$B$26</c:f>
              <c:numCache/>
            </c:numRef>
          </c:val>
        </c:ser>
        <c:axId val="757184063"/>
        <c:axId val="239436766"/>
      </c:barChart>
      <c:catAx>
        <c:axId val="7571840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39436766"/>
      </c:catAx>
      <c:valAx>
        <c:axId val="239436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57184063"/>
      </c:valAx>
    </c:plotArea>
  </c:chart>
</c:chartSpace>
</file>

<file path=xl/charts/chart9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18'!$A$32:$A$34</c:f>
            </c:strRef>
          </c:cat>
          <c:val>
            <c:numRef>
              <c:f>'State Senator, Dist 18'!$B$32:$B$34</c:f>
              <c:numCache/>
            </c:numRef>
          </c:val>
        </c:ser>
        <c:axId val="1043630905"/>
        <c:axId val="387915794"/>
      </c:barChart>
      <c:catAx>
        <c:axId val="10436309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87915794"/>
      </c:catAx>
      <c:valAx>
        <c:axId val="3879157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043630905"/>
      </c:valAx>
    </c:plotArea>
  </c:chart>
</c:chartSpace>
</file>

<file path=xl/charts/chart9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18'!$Q$2:$Q$10</c:f>
            </c:strRef>
          </c:cat>
          <c:val>
            <c:numRef>
              <c:f>'State Senator, Dist 18'!$R$2:$R$10</c:f>
              <c:numCache/>
            </c:numRef>
          </c:val>
        </c:ser>
        <c:axId val="1279257679"/>
        <c:axId val="1580821705"/>
      </c:barChart>
      <c:catAx>
        <c:axId val="12792576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580821705"/>
      </c:catAx>
      <c:valAx>
        <c:axId val="15808217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9257679"/>
      </c:valAx>
    </c:plotArea>
  </c:chart>
</c:chartSpace>
</file>

<file path=xl/charts/chart9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18'!$Q$14:$Q$34</c:f>
            </c:strRef>
          </c:cat>
          <c:val>
            <c:numRef>
              <c:f>'State Senator, Dist 18'!$R$14:$R$34</c:f>
              <c:numCache/>
            </c:numRef>
          </c:val>
        </c:ser>
        <c:axId val="325300480"/>
        <c:axId val="1614810915"/>
      </c:barChart>
      <c:catAx>
        <c:axId val="3253004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14810915"/>
      </c:catAx>
      <c:valAx>
        <c:axId val="16148109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5300480"/>
      </c:valAx>
    </c:plotArea>
  </c:chart>
</c:chartSpace>
</file>

<file path=xl/charts/chart9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18'!$Q$42:$Q$46</c:f>
            </c:strRef>
          </c:cat>
          <c:val>
            <c:numRef>
              <c:f>'State Senator, Dist 18'!$R$42:$R$46</c:f>
              <c:numCache/>
            </c:numRef>
          </c:val>
        </c:ser>
        <c:axId val="737767543"/>
        <c:axId val="1914022984"/>
      </c:barChart>
      <c:catAx>
        <c:axId val="7377675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914022984"/>
      </c:catAx>
      <c:valAx>
        <c:axId val="19140229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7767543"/>
      </c:valAx>
    </c:plotArea>
  </c:chart>
</c:chartSpace>
</file>

<file path=xl/charts/chart9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19'!$A$5:$A$7</c:f>
            </c:strRef>
          </c:cat>
          <c:val>
            <c:numRef>
              <c:f>'State Senator, Dist 19'!$B$5:$B$7</c:f>
              <c:numCache/>
            </c:numRef>
          </c:val>
        </c:ser>
        <c:axId val="402705126"/>
        <c:axId val="624577589"/>
      </c:barChart>
      <c:catAx>
        <c:axId val="4027051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24577589"/>
      </c:catAx>
      <c:valAx>
        <c:axId val="6245775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02705126"/>
      </c:valAx>
    </c:plotArea>
  </c:chart>
</c:chartSpace>
</file>

<file path=xl/charts/chart9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19'!$A$15:$A$18</c:f>
            </c:strRef>
          </c:cat>
          <c:val>
            <c:numRef>
              <c:f>'State Senator, Dist 19'!$B$15:$B$18</c:f>
              <c:numCache/>
            </c:numRef>
          </c:val>
        </c:ser>
        <c:axId val="996892529"/>
        <c:axId val="661235109"/>
      </c:barChart>
      <c:catAx>
        <c:axId val="9968925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61235109"/>
      </c:catAx>
      <c:valAx>
        <c:axId val="661235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96892529"/>
      </c:valAx>
    </c:plotArea>
  </c:chart>
</c:chartSpace>
</file>

<file path=xl/charts/chart9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19'!$Q$2:$Q$10</c:f>
            </c:strRef>
          </c:cat>
          <c:val>
            <c:numRef>
              <c:f>'State Senator, Dist 19'!$R$2:$R$10</c:f>
              <c:numCache/>
            </c:numRef>
          </c:val>
        </c:ser>
        <c:axId val="990107689"/>
        <c:axId val="1883065505"/>
      </c:barChart>
      <c:catAx>
        <c:axId val="9901076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83065505"/>
      </c:catAx>
      <c:valAx>
        <c:axId val="1883065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0107689"/>
      </c:valAx>
    </c:plotArea>
  </c:chart>
</c:chartSpace>
</file>

<file path=xl/charts/chart9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19'!$Q$14:$Q$34</c:f>
            </c:strRef>
          </c:cat>
          <c:val>
            <c:numRef>
              <c:f>'State Senator, Dist 19'!$R$14:$R$34</c:f>
              <c:numCache/>
            </c:numRef>
          </c:val>
        </c:ser>
        <c:axId val="1038465477"/>
        <c:axId val="1455899374"/>
      </c:barChart>
      <c:catAx>
        <c:axId val="1038465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55899374"/>
      </c:catAx>
      <c:valAx>
        <c:axId val="14558993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8465477"/>
      </c:valAx>
    </c:plotArea>
  </c:chart>
</c:chartSpace>
</file>

<file path=xl/charts/chart9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19'!$Q$42:$Q$46</c:f>
            </c:strRef>
          </c:cat>
          <c:val>
            <c:numRef>
              <c:f>'State Senator, Dist 19'!$R$42:$R$46</c:f>
              <c:numCache/>
            </c:numRef>
          </c:val>
        </c:ser>
        <c:axId val="2038366367"/>
        <c:axId val="1286499679"/>
      </c:barChart>
      <c:catAx>
        <c:axId val="20383663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86499679"/>
      </c:catAx>
      <c:valAx>
        <c:axId val="12864996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8366367"/>
      </c:valAx>
    </c:plotArea>
  </c:chart>
</c:chartSpace>
</file>

<file path=xl/charts/chart10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20'!$A$21:$A$24</c:f>
            </c:strRef>
          </c:cat>
          <c:val>
            <c:numRef>
              <c:f>'State Senator, Dist 20'!$B$21:$B$24</c:f>
              <c:numCache/>
            </c:numRef>
          </c:val>
        </c:ser>
        <c:axId val="560883361"/>
        <c:axId val="1319697981"/>
      </c:barChart>
      <c:catAx>
        <c:axId val="5608833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19697981"/>
      </c:catAx>
      <c:valAx>
        <c:axId val="13196979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0883361"/>
      </c:valAx>
    </c:plotArea>
  </c:chart>
</c:chartSpace>
</file>

<file path=xl/charts/chart10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20'!$Q$2:$Q$10</c:f>
            </c:strRef>
          </c:cat>
          <c:val>
            <c:numRef>
              <c:f>'State Senator, Dist 20'!$R$2:$R$10</c:f>
              <c:numCache/>
            </c:numRef>
          </c:val>
        </c:ser>
        <c:axId val="1563396892"/>
        <c:axId val="1038841514"/>
      </c:barChart>
      <c:catAx>
        <c:axId val="15633968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38841514"/>
      </c:catAx>
      <c:valAx>
        <c:axId val="10388415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3396892"/>
      </c:valAx>
    </c:plotArea>
  </c:chart>
</c:chartSpace>
</file>

<file path=xl/charts/chart10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20'!$Q$14:$Q$34</c:f>
            </c:strRef>
          </c:cat>
          <c:val>
            <c:numRef>
              <c:f>'State Senator, Dist 20'!$R$14:$R$34</c:f>
              <c:numCache/>
            </c:numRef>
          </c:val>
        </c:ser>
        <c:axId val="1522797473"/>
        <c:axId val="1892640392"/>
      </c:barChart>
      <c:catAx>
        <c:axId val="15227974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92640392"/>
      </c:catAx>
      <c:valAx>
        <c:axId val="1892640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2797473"/>
      </c:valAx>
    </c:plotArea>
  </c:chart>
</c:chartSpace>
</file>

<file path=xl/charts/chart10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20'!$Q$42:$Q$46</c:f>
            </c:strRef>
          </c:cat>
          <c:val>
            <c:numRef>
              <c:f>'State Senator, Dist 20'!$R$42:$R$46</c:f>
              <c:numCache/>
            </c:numRef>
          </c:val>
        </c:ser>
        <c:axId val="1378326526"/>
        <c:axId val="412297305"/>
      </c:barChart>
      <c:catAx>
        <c:axId val="13783265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12297305"/>
      </c:catAx>
      <c:valAx>
        <c:axId val="4122973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8326526"/>
      </c:valAx>
    </c:plotArea>
  </c:chart>
</c:chartSpace>
</file>

<file path=xl/charts/chart10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21'!$A$21:$A$25</c:f>
            </c:strRef>
          </c:cat>
          <c:val>
            <c:numRef>
              <c:f>'State Senator, Dist 21'!$B$21:$B$25</c:f>
              <c:numCache/>
            </c:numRef>
          </c:val>
        </c:ser>
        <c:axId val="847375879"/>
        <c:axId val="932982988"/>
      </c:barChart>
      <c:catAx>
        <c:axId val="8473758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32982988"/>
      </c:catAx>
      <c:valAx>
        <c:axId val="9329829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7375879"/>
      </c:valAx>
    </c:plotArea>
  </c:chart>
</c:chartSpace>
</file>

<file path=xl/charts/chart10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21'!$Q$2:$Q$10</c:f>
            </c:strRef>
          </c:cat>
          <c:val>
            <c:numRef>
              <c:f>'State Senator, Dist 21'!$R$2:$R$10</c:f>
              <c:numCache/>
            </c:numRef>
          </c:val>
        </c:ser>
        <c:axId val="1869197929"/>
        <c:axId val="484958687"/>
      </c:barChart>
      <c:catAx>
        <c:axId val="18691979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84958687"/>
      </c:catAx>
      <c:valAx>
        <c:axId val="4849586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9197929"/>
      </c:valAx>
    </c:plotArea>
  </c:chart>
</c:chartSpace>
</file>

<file path=xl/charts/chart10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21'!$Q$14:$Q$34</c:f>
            </c:strRef>
          </c:cat>
          <c:val>
            <c:numRef>
              <c:f>'State Senator, Dist 21'!$R$14:$R$34</c:f>
              <c:numCache/>
            </c:numRef>
          </c:val>
        </c:ser>
        <c:axId val="619161828"/>
        <c:axId val="1265381406"/>
      </c:barChart>
      <c:catAx>
        <c:axId val="6191618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65381406"/>
      </c:catAx>
      <c:valAx>
        <c:axId val="12653814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9161828"/>
      </c:valAx>
    </c:plotArea>
  </c:chart>
</c:chartSpace>
</file>

<file path=xl/charts/chart10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21'!$Q$42:$Q$46</c:f>
            </c:strRef>
          </c:cat>
          <c:val>
            <c:numRef>
              <c:f>'State Senator, Dist 21'!$R$42:$R$46</c:f>
              <c:numCache/>
            </c:numRef>
          </c:val>
        </c:ser>
        <c:axId val="28906713"/>
        <c:axId val="98667833"/>
      </c:barChart>
      <c:catAx>
        <c:axId val="289067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8667833"/>
      </c:catAx>
      <c:valAx>
        <c:axId val="986678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906713"/>
      </c:valAx>
    </c:plotArea>
  </c:chart>
</c:chartSpace>
</file>

<file path=xl/charts/chart10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Senator, Dist 22'!$A$5:$A$8</c:f>
            </c:strRef>
          </c:cat>
          <c:val>
            <c:numRef>
              <c:f>'State Senator, Dist 22'!$B$5:$B$8</c:f>
              <c:numCache/>
            </c:numRef>
          </c:val>
        </c:ser>
        <c:axId val="92683787"/>
        <c:axId val="436692390"/>
      </c:barChart>
      <c:catAx>
        <c:axId val="926837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436692390"/>
      </c:catAx>
      <c:valAx>
        <c:axId val="436692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2683787"/>
      </c:valAx>
    </c:plotArea>
  </c:chart>
</c:chartSpace>
</file>

<file path=xl/charts/chart10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22'!$A$14:$A$17</c:f>
            </c:strRef>
          </c:cat>
          <c:val>
            <c:numRef>
              <c:f>'State Senator, Dist 22'!$B$14:$B$17</c:f>
              <c:numCache/>
            </c:numRef>
          </c:val>
        </c:ser>
        <c:axId val="704125541"/>
        <c:axId val="779715751"/>
      </c:barChart>
      <c:catAx>
        <c:axId val="7041255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79715751"/>
      </c:catAx>
      <c:valAx>
        <c:axId val="7797157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04125541"/>
      </c:valAx>
    </c:plotArea>
  </c:chart>
</c:chartSpace>
</file>

<file path=xl/charts/chart1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Senator, Dist 22'!$A$25:$A$27</c:f>
            </c:strRef>
          </c:cat>
          <c:val>
            <c:numRef>
              <c:f>'State Senator, Dist 22'!$B$25:$B$27</c:f>
              <c:numCache/>
            </c:numRef>
          </c:val>
        </c:ser>
        <c:axId val="1902859632"/>
        <c:axId val="237954140"/>
      </c:barChart>
      <c:catAx>
        <c:axId val="19028596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37954140"/>
      </c:catAx>
      <c:valAx>
        <c:axId val="2379541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02859632"/>
      </c:valAx>
    </c:plotArea>
  </c:chart>
</c:chartSpace>
</file>

<file path=xl/charts/chart1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22'!$A$33:$A$35</c:f>
            </c:strRef>
          </c:cat>
          <c:val>
            <c:numRef>
              <c:f>'State Senator, Dist 22'!$B$33:$B$35</c:f>
              <c:numCache/>
            </c:numRef>
          </c:val>
        </c:ser>
        <c:axId val="219241655"/>
        <c:axId val="1523688213"/>
      </c:barChart>
      <c:catAx>
        <c:axId val="2192416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23688213"/>
      </c:catAx>
      <c:valAx>
        <c:axId val="15236882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19241655"/>
      </c:valAx>
    </c:plotArea>
  </c:chart>
</c:chartSpace>
</file>

<file path=xl/charts/chart1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22'!$P$2:$P$10</c:f>
            </c:strRef>
          </c:cat>
          <c:val>
            <c:numRef>
              <c:f>'State Senator, Dist 22'!$Q$2:$Q$10</c:f>
              <c:numCache/>
            </c:numRef>
          </c:val>
        </c:ser>
        <c:axId val="1502776150"/>
        <c:axId val="2091216131"/>
      </c:barChart>
      <c:catAx>
        <c:axId val="15027761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091216131"/>
      </c:catAx>
      <c:valAx>
        <c:axId val="20912161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2776150"/>
      </c:valAx>
    </c:plotArea>
  </c:chart>
</c:chartSpace>
</file>

<file path=xl/charts/chart1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22'!$P$14:$P$34</c:f>
            </c:strRef>
          </c:cat>
          <c:val>
            <c:numRef>
              <c:f>'State Senator, Dist 22'!$Q$14:$Q$34</c:f>
              <c:numCache/>
            </c:numRef>
          </c:val>
        </c:ser>
        <c:axId val="1767536298"/>
        <c:axId val="1343964543"/>
      </c:barChart>
      <c:catAx>
        <c:axId val="17675362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43964543"/>
      </c:catAx>
      <c:valAx>
        <c:axId val="1343964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7536298"/>
      </c:valAx>
    </c:plotArea>
  </c:chart>
</c:chartSpace>
</file>

<file path=xl/charts/chart1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22'!$P$42:$P$46</c:f>
            </c:strRef>
          </c:cat>
          <c:val>
            <c:numRef>
              <c:f>'State Senator, Dist 22'!$Q$42:$Q$46</c:f>
              <c:numCache/>
            </c:numRef>
          </c:val>
        </c:ser>
        <c:axId val="1226124944"/>
        <c:axId val="1022346065"/>
      </c:barChart>
      <c:catAx>
        <c:axId val="12261249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22346065"/>
      </c:catAx>
      <c:valAx>
        <c:axId val="1022346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6124944"/>
      </c:valAx>
    </c:plotArea>
  </c:chart>
</c:chartSpace>
</file>

<file path=xl/charts/chart1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Senator, Dist 23'!$A$5:$A$7</c:f>
            </c:strRef>
          </c:cat>
          <c:val>
            <c:numRef>
              <c:f>'State Senator, Dist 23'!$B$5:$B$7</c:f>
              <c:numCache/>
            </c:numRef>
          </c:val>
        </c:ser>
        <c:axId val="1862621265"/>
        <c:axId val="1095136957"/>
      </c:barChart>
      <c:catAx>
        <c:axId val="1862621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95136957"/>
      </c:catAx>
      <c:valAx>
        <c:axId val="1095136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62621265"/>
      </c:valAx>
    </c:plotArea>
  </c:chart>
</c:chartSpace>
</file>

<file path=xl/charts/chart1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23'!$A$13:$A$16</c:f>
            </c:strRef>
          </c:cat>
          <c:val>
            <c:numRef>
              <c:f>'State Senator, Dist 23'!$B$13:$B$16</c:f>
              <c:numCache/>
            </c:numRef>
          </c:val>
        </c:ser>
        <c:axId val="1635219762"/>
        <c:axId val="2140904784"/>
      </c:barChart>
      <c:catAx>
        <c:axId val="16352197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140904784"/>
      </c:catAx>
      <c:valAx>
        <c:axId val="21409047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635219762"/>
      </c:valAx>
    </c:plotArea>
  </c:chart>
</c:chartSpace>
</file>

<file path=xl/charts/chart1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Senator, Dist 23'!$A$24:$A$27</c:f>
            </c:strRef>
          </c:cat>
          <c:val>
            <c:numRef>
              <c:f>'State Senator, Dist 23'!$B$24:$B$27</c:f>
              <c:numCache/>
            </c:numRef>
          </c:val>
        </c:ser>
        <c:axId val="941518668"/>
        <c:axId val="1180741882"/>
      </c:barChart>
      <c:catAx>
        <c:axId val="9415186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80741882"/>
      </c:catAx>
      <c:valAx>
        <c:axId val="11807418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41518668"/>
      </c:valAx>
    </c:plotArea>
  </c:chart>
</c:chartSpace>
</file>

<file path=xl/charts/chart1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23'!$A$33:$A$35</c:f>
            </c:strRef>
          </c:cat>
          <c:val>
            <c:numRef>
              <c:f>'State Senator, Dist 23'!$B$33:$B$35</c:f>
              <c:numCache/>
            </c:numRef>
          </c:val>
        </c:ser>
        <c:axId val="7363950"/>
        <c:axId val="2085377905"/>
      </c:barChart>
      <c:catAx>
        <c:axId val="73639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85377905"/>
      </c:catAx>
      <c:valAx>
        <c:axId val="20853779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363950"/>
      </c:valAx>
    </c:plotArea>
  </c:chart>
</c:chartSpace>
</file>

<file path=xl/charts/chart1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23'!$P$2:$P$10</c:f>
            </c:strRef>
          </c:cat>
          <c:val>
            <c:numRef>
              <c:f>'State Senator, Dist 23'!$Q$2:$Q$10</c:f>
              <c:numCache/>
            </c:numRef>
          </c:val>
        </c:ser>
        <c:axId val="792375651"/>
        <c:axId val="1726464882"/>
      </c:barChart>
      <c:catAx>
        <c:axId val="792375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26464882"/>
      </c:catAx>
      <c:valAx>
        <c:axId val="17264648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2375651"/>
      </c:valAx>
    </c:plotArea>
  </c:chart>
</c:chartSpace>
</file>

<file path=xl/charts/chart1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23'!$P$14:$P$34</c:f>
            </c:strRef>
          </c:cat>
          <c:val>
            <c:numRef>
              <c:f>'State Senator, Dist 23'!$Q$14:$Q$34</c:f>
              <c:numCache/>
            </c:numRef>
          </c:val>
        </c:ser>
        <c:axId val="1985221213"/>
        <c:axId val="513947972"/>
      </c:barChart>
      <c:catAx>
        <c:axId val="19852212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13947972"/>
      </c:catAx>
      <c:valAx>
        <c:axId val="5139479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5221213"/>
      </c:valAx>
    </c:plotArea>
  </c:chart>
</c:chartSpace>
</file>

<file path=xl/charts/chart1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23'!$P$42:$P$46</c:f>
            </c:strRef>
          </c:cat>
          <c:val>
            <c:numRef>
              <c:f>'State Senator, Dist 23'!$Q$42:$Q$46</c:f>
              <c:numCache/>
            </c:numRef>
          </c:val>
        </c:ser>
        <c:axId val="114270682"/>
        <c:axId val="738977128"/>
      </c:barChart>
      <c:catAx>
        <c:axId val="1142706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38977128"/>
      </c:catAx>
      <c:valAx>
        <c:axId val="7389771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270682"/>
      </c:valAx>
    </c:plotArea>
  </c:chart>
</c:chartSpace>
</file>

<file path=xl/charts/chart1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Senator, Dist 24'!$A$5:$A$7</c:f>
            </c:strRef>
          </c:cat>
          <c:val>
            <c:numRef>
              <c:f>'State Senator, Dist 24'!$B$5:$B$7</c:f>
              <c:numCache/>
            </c:numRef>
          </c:val>
        </c:ser>
        <c:axId val="1498941641"/>
        <c:axId val="155097526"/>
      </c:barChart>
      <c:catAx>
        <c:axId val="1498941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5097526"/>
      </c:catAx>
      <c:valAx>
        <c:axId val="1550975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98941641"/>
      </c:valAx>
    </c:plotArea>
  </c:chart>
</c:chartSpace>
</file>

<file path=xl/charts/chart1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Senator, Dist 24'!$A$15:$A$18</c:f>
            </c:strRef>
          </c:cat>
          <c:val>
            <c:numRef>
              <c:f>'State Senator, Dist 24'!$B$15:$B$18</c:f>
              <c:numCache/>
            </c:numRef>
          </c:val>
        </c:ser>
        <c:axId val="957408021"/>
        <c:axId val="726569520"/>
      </c:barChart>
      <c:catAx>
        <c:axId val="9574080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26569520"/>
      </c:catAx>
      <c:valAx>
        <c:axId val="7265695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57408021"/>
      </c:valAx>
    </c:plotArea>
  </c:chart>
</c:chartSpace>
</file>

<file path=xl/charts/chart1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Senator, Dist 24'!$A$24:$A$26</c:f>
            </c:strRef>
          </c:cat>
          <c:val>
            <c:numRef>
              <c:f>'State Senator, Dist 24'!$B$24:$B$26</c:f>
              <c:numCache/>
            </c:numRef>
          </c:val>
        </c:ser>
        <c:axId val="1086449351"/>
        <c:axId val="1514152766"/>
      </c:barChart>
      <c:catAx>
        <c:axId val="10864493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14152766"/>
      </c:catAx>
      <c:valAx>
        <c:axId val="1514152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086449351"/>
      </c:valAx>
    </c:plotArea>
  </c:chart>
</c:chartSpace>
</file>

<file path=xl/charts/chart1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24'!$P$2:$P$10</c:f>
            </c:strRef>
          </c:cat>
          <c:val>
            <c:numRef>
              <c:f>'State Senator, Dist 24'!$Q$2:$Q$10</c:f>
              <c:numCache/>
            </c:numRef>
          </c:val>
        </c:ser>
        <c:axId val="1351861012"/>
        <c:axId val="1265855886"/>
      </c:barChart>
      <c:catAx>
        <c:axId val="13518610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65855886"/>
      </c:catAx>
      <c:valAx>
        <c:axId val="12658558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1861012"/>
      </c:valAx>
    </c:plotArea>
  </c:chart>
</c:chartSpace>
</file>

<file path=xl/charts/chart1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24'!$P$14:$P$34</c:f>
            </c:strRef>
          </c:cat>
          <c:val>
            <c:numRef>
              <c:f>'State Senator, Dist 24'!$Q$14:$Q$34</c:f>
              <c:numCache/>
            </c:numRef>
          </c:val>
        </c:ser>
        <c:axId val="307596527"/>
        <c:axId val="6594889"/>
      </c:barChart>
      <c:catAx>
        <c:axId val="307596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594889"/>
      </c:catAx>
      <c:valAx>
        <c:axId val="65948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7596527"/>
      </c:valAx>
    </c:plotArea>
  </c:chart>
</c:chartSpace>
</file>

<file path=xl/charts/chart1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24'!$P$42:$P$46</c:f>
            </c:strRef>
          </c:cat>
          <c:val>
            <c:numRef>
              <c:f>'State Senator, Dist 24'!$Q$42:$Q$46</c:f>
              <c:numCache/>
            </c:numRef>
          </c:val>
        </c:ser>
        <c:axId val="2087223370"/>
        <c:axId val="1175180876"/>
      </c:barChart>
      <c:catAx>
        <c:axId val="20872233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75180876"/>
      </c:catAx>
      <c:valAx>
        <c:axId val="11751808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7223370"/>
      </c:valAx>
    </c:plotArea>
  </c:chart>
</c:chartSpace>
</file>

<file path=xl/charts/chart1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a:t>
            </a:r>
          </a:p>
        </c:rich>
      </c:tx>
      <c:overlay val="0"/>
    </c:title>
    <c:plotArea>
      <c:layout/>
      <c:barChart>
        <c:barDir val="col"/>
        <c:ser>
          <c:idx val="0"/>
          <c:order val="0"/>
          <c:spPr>
            <a:solidFill>
              <a:srgbClr val="87CEEB"/>
            </a:solidFill>
            <a:ln cmpd="sng">
              <a:solidFill>
                <a:srgbClr val="000000"/>
              </a:solidFill>
            </a:ln>
          </c:spPr>
          <c:cat>
            <c:strRef>
              <c:f>'State Senator, Dist 25'!$A$21:$A$25</c:f>
            </c:strRef>
          </c:cat>
          <c:val>
            <c:numRef>
              <c:f>'State Senator, Dist 25'!$B$21:$B$25</c:f>
              <c:numCache/>
            </c:numRef>
          </c:val>
        </c:ser>
        <c:axId val="635596994"/>
        <c:axId val="1067104647"/>
      </c:barChart>
      <c:catAx>
        <c:axId val="6355969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 Name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67104647"/>
      </c:catAx>
      <c:valAx>
        <c:axId val="10671046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5596994"/>
      </c:valAx>
    </c:plotArea>
  </c:chart>
</c:chartSpace>
</file>

<file path=xl/charts/chart1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Senator, Dist 25'!$Q$2:$Q$10</c:f>
            </c:strRef>
          </c:cat>
          <c:val>
            <c:numRef>
              <c:f>'State Senator, Dist 25'!$R$2:$R$10</c:f>
              <c:numCache/>
            </c:numRef>
          </c:val>
        </c:ser>
        <c:axId val="1086414125"/>
        <c:axId val="1689315887"/>
      </c:barChart>
      <c:catAx>
        <c:axId val="10864141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89315887"/>
      </c:catAx>
      <c:valAx>
        <c:axId val="16893158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6414125"/>
      </c:valAx>
    </c:plotArea>
  </c:chart>
</c:chartSpace>
</file>

<file path=xl/charts/chart1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Senator, Dist 25'!$Q$14:$Q$34</c:f>
            </c:strRef>
          </c:cat>
          <c:val>
            <c:numRef>
              <c:f>'State Senator, Dist 25'!$R$14:$R$34</c:f>
              <c:numCache/>
            </c:numRef>
          </c:val>
        </c:ser>
        <c:axId val="1229417098"/>
        <c:axId val="1002130534"/>
      </c:barChart>
      <c:catAx>
        <c:axId val="12294170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02130534"/>
      </c:catAx>
      <c:valAx>
        <c:axId val="10021305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9417098"/>
      </c:valAx>
    </c:plotArea>
  </c:chart>
</c:chartSpace>
</file>

<file path=xl/charts/chart1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Senator, Dist 25'!$Q$42:$Q$46</c:f>
            </c:strRef>
          </c:cat>
          <c:val>
            <c:numRef>
              <c:f>'State Senator, Dist 25'!$R$42:$R$46</c:f>
              <c:numCache/>
            </c:numRef>
          </c:val>
        </c:ser>
        <c:axId val="753359959"/>
        <c:axId val="1111687549"/>
      </c:barChart>
      <c:catAx>
        <c:axId val="7533599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11687549"/>
      </c:catAx>
      <c:valAx>
        <c:axId val="11116875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3359959"/>
      </c:valAx>
    </c:plotArea>
  </c:chart>
</c:chartSpace>
</file>

<file path=xl/charts/chart1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1'!$A$5:$A$7</c:f>
            </c:strRef>
          </c:cat>
          <c:val>
            <c:numRef>
              <c:f>'State Representative, Dist 1'!$B$5:$B$7</c:f>
              <c:numCache/>
            </c:numRef>
          </c:val>
        </c:ser>
        <c:axId val="630615657"/>
        <c:axId val="1124601322"/>
      </c:barChart>
      <c:catAx>
        <c:axId val="630615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24601322"/>
      </c:catAx>
      <c:valAx>
        <c:axId val="11246013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30615657"/>
      </c:valAx>
    </c:plotArea>
  </c:chart>
</c:chartSpace>
</file>

<file path=xl/charts/chart1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1'!$A$15:$A$17</c:f>
            </c:strRef>
          </c:cat>
          <c:val>
            <c:numRef>
              <c:f>'State Representative, Dist 1'!$B$15:$B$17</c:f>
              <c:numCache/>
            </c:numRef>
          </c:val>
        </c:ser>
        <c:axId val="415471791"/>
        <c:axId val="2089003807"/>
      </c:barChart>
      <c:catAx>
        <c:axId val="4154717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89003807"/>
      </c:catAx>
      <c:valAx>
        <c:axId val="2089003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15471791"/>
      </c:valAx>
    </c:plotArea>
  </c:chart>
</c:chartSpace>
</file>

<file path=xl/charts/chart1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1'!$N$11:$N$19</c:f>
            </c:strRef>
          </c:cat>
          <c:val>
            <c:numRef>
              <c:f>'State Representative, Dist 1'!$O$11:$O$19</c:f>
              <c:numCache/>
            </c:numRef>
          </c:val>
        </c:ser>
        <c:axId val="1082833179"/>
        <c:axId val="1018516583"/>
      </c:barChart>
      <c:catAx>
        <c:axId val="10828331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18516583"/>
      </c:catAx>
      <c:valAx>
        <c:axId val="10185165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2833179"/>
      </c:valAx>
    </c:plotArea>
  </c:chart>
</c:chartSpace>
</file>

<file path=xl/charts/chart1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1'!$N$23:$N$42</c:f>
            </c:strRef>
          </c:cat>
          <c:val>
            <c:numRef>
              <c:f>'State Representative, Dist 1'!$O$23:$O$42</c:f>
              <c:numCache/>
            </c:numRef>
          </c:val>
        </c:ser>
        <c:axId val="1856003999"/>
        <c:axId val="1293918943"/>
      </c:barChart>
      <c:catAx>
        <c:axId val="18560039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93918943"/>
      </c:catAx>
      <c:valAx>
        <c:axId val="12939189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6003999"/>
      </c:valAx>
    </c:plotArea>
  </c:chart>
</c:chartSpace>
</file>

<file path=xl/charts/chart1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1'!$N$46:$N$50</c:f>
            </c:strRef>
          </c:cat>
          <c:val>
            <c:numRef>
              <c:f>'State Representative, Dist 1'!$O$46:$O$50</c:f>
              <c:numCache/>
            </c:numRef>
          </c:val>
        </c:ser>
        <c:axId val="1143582318"/>
        <c:axId val="1277268144"/>
      </c:barChart>
      <c:catAx>
        <c:axId val="11435823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77268144"/>
      </c:catAx>
      <c:valAx>
        <c:axId val="1277268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3582318"/>
      </c:valAx>
    </c:plotArea>
  </c:chart>
</c:chartSpace>
</file>

<file path=xl/charts/chart1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2'!$A$5:$A$8</c:f>
            </c:strRef>
          </c:cat>
          <c:val>
            <c:numRef>
              <c:f>'State Representative, Dist 2'!$B$5:$B$8</c:f>
              <c:numCache/>
            </c:numRef>
          </c:val>
        </c:ser>
        <c:axId val="1212992991"/>
        <c:axId val="994921153"/>
      </c:barChart>
      <c:catAx>
        <c:axId val="1212992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94921153"/>
      </c:catAx>
      <c:valAx>
        <c:axId val="9949211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12992991"/>
      </c:valAx>
    </c:plotArea>
  </c:chart>
</c:chartSpace>
</file>

<file path=xl/charts/chart1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2'!$A$16:$A$18</c:f>
            </c:strRef>
          </c:cat>
          <c:val>
            <c:numRef>
              <c:f>'State Representative, Dist 2'!$B$16:$B$18</c:f>
              <c:numCache/>
            </c:numRef>
          </c:val>
        </c:ser>
        <c:axId val="1706912637"/>
        <c:axId val="2140580466"/>
      </c:barChart>
      <c:catAx>
        <c:axId val="17069126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140580466"/>
      </c:catAx>
      <c:valAx>
        <c:axId val="21405804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06912637"/>
      </c:valAx>
    </c:plotArea>
  </c:chart>
</c:chartSpace>
</file>

<file path=xl/charts/chart1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2'!$P$11:$P$19</c:f>
            </c:strRef>
          </c:cat>
          <c:val>
            <c:numRef>
              <c:f>'State Representative, Dist 2'!$Q$11:$Q$19</c:f>
              <c:numCache/>
            </c:numRef>
          </c:val>
        </c:ser>
        <c:axId val="1427385931"/>
        <c:axId val="1843902138"/>
      </c:barChart>
      <c:catAx>
        <c:axId val="14273859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43902138"/>
      </c:catAx>
      <c:valAx>
        <c:axId val="18439021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7385931"/>
      </c:valAx>
    </c:plotArea>
  </c:chart>
</c:chartSpace>
</file>

<file path=xl/charts/chart1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2'!$P$23:$P$42</c:f>
            </c:strRef>
          </c:cat>
          <c:val>
            <c:numRef>
              <c:f>'State Representative, Dist 2'!$Q$23:$Q$42</c:f>
              <c:numCache/>
            </c:numRef>
          </c:val>
        </c:ser>
        <c:axId val="151433177"/>
        <c:axId val="680849468"/>
      </c:barChart>
      <c:catAx>
        <c:axId val="1514331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80849468"/>
      </c:catAx>
      <c:valAx>
        <c:axId val="6808494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433177"/>
      </c:valAx>
    </c:plotArea>
  </c:chart>
</c:chartSpace>
</file>

<file path=xl/charts/chart1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2'!$P$46:$P$50</c:f>
            </c:strRef>
          </c:cat>
          <c:val>
            <c:numRef>
              <c:f>'State Representative, Dist 2'!$Q$46:$Q$50</c:f>
              <c:numCache/>
            </c:numRef>
          </c:val>
        </c:ser>
        <c:axId val="813823169"/>
        <c:axId val="79955893"/>
      </c:barChart>
      <c:catAx>
        <c:axId val="8138231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9955893"/>
      </c:catAx>
      <c:valAx>
        <c:axId val="799558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3823169"/>
      </c:valAx>
    </c:plotArea>
  </c:chart>
</c:chartSpace>
</file>

<file path=xl/charts/chart1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3'!$A$5:$A$7</c:f>
            </c:strRef>
          </c:cat>
          <c:val>
            <c:numRef>
              <c:f>'State Representative, Dist 3'!$B$5:$B$7</c:f>
              <c:numCache/>
            </c:numRef>
          </c:val>
        </c:ser>
        <c:axId val="1679953467"/>
        <c:axId val="1180702899"/>
      </c:barChart>
      <c:catAx>
        <c:axId val="16799534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80702899"/>
      </c:catAx>
      <c:valAx>
        <c:axId val="11807028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679953467"/>
      </c:valAx>
    </c:plotArea>
  </c:chart>
</c:chartSpace>
</file>

<file path=xl/charts/chart1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3'!$A$13:$A$16</c:f>
            </c:strRef>
          </c:cat>
          <c:val>
            <c:numRef>
              <c:f>'State Representative, Dist 3'!$B$13:$B$16</c:f>
              <c:numCache/>
            </c:numRef>
          </c:val>
        </c:ser>
        <c:axId val="1270390377"/>
        <c:axId val="1335154650"/>
      </c:barChart>
      <c:catAx>
        <c:axId val="12703903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35154650"/>
      </c:catAx>
      <c:valAx>
        <c:axId val="13351546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70390377"/>
      </c:valAx>
    </c:plotArea>
  </c:chart>
</c:chartSpace>
</file>

<file path=xl/charts/chart1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(L)</a:t>
            </a:r>
          </a:p>
        </c:rich>
      </c:tx>
      <c:overlay val="0"/>
    </c:title>
    <c:plotArea>
      <c:layout/>
      <c:barChart>
        <c:barDir val="col"/>
        <c:ser>
          <c:idx val="0"/>
          <c:order val="0"/>
          <c:spPr>
            <a:solidFill>
              <a:schemeClr val="accent1"/>
            </a:solidFill>
            <a:ln cmpd="sng">
              <a:solidFill>
                <a:srgbClr val="000000"/>
              </a:solidFill>
            </a:ln>
          </c:spPr>
          <c:cat>
            <c:strRef>
              <c:f>'State Representative, Dist 3'!$A$22:$A$24</c:f>
            </c:strRef>
          </c:cat>
          <c:val>
            <c:numRef>
              <c:f>'State Representative, Dist 3'!$B$22:$B$24</c:f>
              <c:numCache/>
            </c:numRef>
          </c:val>
        </c:ser>
        <c:axId val="2018030221"/>
        <c:axId val="1304159702"/>
      </c:barChart>
      <c:catAx>
        <c:axId val="20180302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04159702"/>
      </c:catAx>
      <c:valAx>
        <c:axId val="13041597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018030221"/>
      </c:valAx>
    </c:plotArea>
  </c:chart>
</c:chartSpace>
</file>

<file path=xl/charts/chart1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(A)</a:t>
            </a:r>
          </a:p>
        </c:rich>
      </c:tx>
      <c:overlay val="0"/>
    </c:title>
    <c:plotArea>
      <c:layout/>
      <c:barChart>
        <c:barDir val="col"/>
        <c:ser>
          <c:idx val="0"/>
          <c:order val="0"/>
          <c:spPr>
            <a:solidFill>
              <a:schemeClr val="accent1"/>
            </a:solidFill>
            <a:ln cmpd="sng">
              <a:solidFill>
                <a:srgbClr val="000000"/>
              </a:solidFill>
            </a:ln>
          </c:spPr>
          <c:cat>
            <c:strRef>
              <c:f>'State Representative, Dist 3'!$A$32:$A$34</c:f>
            </c:strRef>
          </c:cat>
          <c:val>
            <c:numRef>
              <c:f>'State Representative, Dist 3'!$B$32:$B$34</c:f>
              <c:numCache/>
            </c:numRef>
          </c:val>
        </c:ser>
        <c:axId val="924707550"/>
        <c:axId val="1823452126"/>
      </c:barChart>
      <c:catAx>
        <c:axId val="9247075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823452126"/>
      </c:catAx>
      <c:valAx>
        <c:axId val="18234521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24707550"/>
      </c:valAx>
    </c:plotArea>
  </c:chart>
</c:chartSpace>
</file>

<file path=xl/charts/chart1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3'!$A$40:$A$43</c:f>
            </c:strRef>
          </c:cat>
          <c:val>
            <c:numRef>
              <c:f>'State Representative, Dist 3'!$B$40:$B$43</c:f>
              <c:numCache/>
            </c:numRef>
          </c:val>
        </c:ser>
        <c:axId val="145720179"/>
        <c:axId val="688347116"/>
      </c:barChart>
      <c:catAx>
        <c:axId val="1457201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88347116"/>
      </c:catAx>
      <c:valAx>
        <c:axId val="6883471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5720179"/>
      </c:valAx>
    </c:plotArea>
  </c:chart>
</c:chartSpace>
</file>

<file path=xl/charts/chart1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3'!$P$11:$P$19</c:f>
            </c:strRef>
          </c:cat>
          <c:val>
            <c:numRef>
              <c:f>'State Representative, Dist 3'!$Q$11:$Q$19</c:f>
              <c:numCache/>
            </c:numRef>
          </c:val>
        </c:ser>
        <c:axId val="1842244820"/>
        <c:axId val="1688890944"/>
      </c:barChart>
      <c:catAx>
        <c:axId val="18422448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88890944"/>
      </c:catAx>
      <c:valAx>
        <c:axId val="16888909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2244820"/>
      </c:valAx>
    </c:plotArea>
  </c:chart>
</c:chartSpace>
</file>

<file path=xl/charts/chart1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3'!$P$23:$P$42</c:f>
            </c:strRef>
          </c:cat>
          <c:val>
            <c:numRef>
              <c:f>'State Representative, Dist 3'!$Q$23:$Q$42</c:f>
              <c:numCache/>
            </c:numRef>
          </c:val>
        </c:ser>
        <c:axId val="624523578"/>
        <c:axId val="868448080"/>
      </c:barChart>
      <c:catAx>
        <c:axId val="6245235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68448080"/>
      </c:catAx>
      <c:valAx>
        <c:axId val="8684480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4523578"/>
      </c:valAx>
    </c:plotArea>
  </c:chart>
</c:chartSpace>
</file>

<file path=xl/charts/chart1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3'!$P$46:$P$50</c:f>
            </c:strRef>
          </c:cat>
          <c:val>
            <c:numRef>
              <c:f>'State Representative, Dist 3'!$Q$46:$Q$50</c:f>
              <c:numCache/>
            </c:numRef>
          </c:val>
        </c:ser>
        <c:axId val="1930840443"/>
        <c:axId val="1166621353"/>
      </c:barChart>
      <c:catAx>
        <c:axId val="19308404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66621353"/>
      </c:catAx>
      <c:valAx>
        <c:axId val="11666213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0840443"/>
      </c:valAx>
    </c:plotArea>
  </c:chart>
</c:chartSpace>
</file>

<file path=xl/charts/chart1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4'!$A$5:$A$7</c:f>
            </c:strRef>
          </c:cat>
          <c:val>
            <c:numRef>
              <c:f>'State Representative, Dist 4'!$B$5:$B$7</c:f>
              <c:numCache/>
            </c:numRef>
          </c:val>
        </c:ser>
        <c:axId val="2108624168"/>
        <c:axId val="647252849"/>
      </c:barChart>
      <c:catAx>
        <c:axId val="21086241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47252849"/>
      </c:catAx>
      <c:valAx>
        <c:axId val="6472528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108624168"/>
      </c:valAx>
    </c:plotArea>
  </c:chart>
</c:chartSpace>
</file>

<file path=xl/charts/chart1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4'!$A$13:$A$16</c:f>
            </c:strRef>
          </c:cat>
          <c:val>
            <c:numRef>
              <c:f>'State Representative, Dist 4'!$B$13:$B$16</c:f>
              <c:numCache/>
            </c:numRef>
          </c:val>
        </c:ser>
        <c:axId val="1584393101"/>
        <c:axId val="2023640492"/>
      </c:barChart>
      <c:catAx>
        <c:axId val="15843931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23640492"/>
      </c:catAx>
      <c:valAx>
        <c:axId val="20236404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84393101"/>
      </c:valAx>
    </c:plotArea>
  </c:chart>
</c:chartSpace>
</file>

<file path=xl/charts/chart1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(N)</a:t>
            </a:r>
          </a:p>
        </c:rich>
      </c:tx>
      <c:overlay val="0"/>
    </c:title>
    <c:plotArea>
      <c:layout/>
      <c:barChart>
        <c:barDir val="col"/>
        <c:ser>
          <c:idx val="0"/>
          <c:order val="0"/>
          <c:spPr>
            <a:solidFill>
              <a:schemeClr val="accent1"/>
            </a:solidFill>
            <a:ln cmpd="sng">
              <a:solidFill>
                <a:srgbClr val="000000"/>
              </a:solidFill>
            </a:ln>
          </c:spPr>
          <c:cat>
            <c:strRef>
              <c:f>'State Representative, Dist 4'!$A$23:$A$25</c:f>
            </c:strRef>
          </c:cat>
          <c:val>
            <c:numRef>
              <c:f>'State Representative, Dist 4'!$B$23:$B$25</c:f>
              <c:numCache/>
            </c:numRef>
          </c:val>
        </c:ser>
        <c:axId val="1359229598"/>
        <c:axId val="991896161"/>
      </c:barChart>
      <c:catAx>
        <c:axId val="13592295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91896161"/>
      </c:catAx>
      <c:valAx>
        <c:axId val="991896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59229598"/>
      </c:valAx>
    </c:plotArea>
  </c:chart>
</c:chartSpace>
</file>

<file path=xl/charts/chart1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4'!$A$31:$A$33</c:f>
            </c:strRef>
          </c:cat>
          <c:val>
            <c:numRef>
              <c:f>'State Representative, Dist 4'!$B$31:$B$33</c:f>
              <c:numCache/>
            </c:numRef>
          </c:val>
        </c:ser>
        <c:axId val="646819789"/>
        <c:axId val="1281449462"/>
      </c:barChart>
      <c:catAx>
        <c:axId val="6468197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81449462"/>
      </c:catAx>
      <c:valAx>
        <c:axId val="12814494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46819789"/>
      </c:valAx>
    </c:plotArea>
  </c:chart>
</c:chartSpace>
</file>

<file path=xl/charts/chart1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(L)</a:t>
            </a:r>
          </a:p>
        </c:rich>
      </c:tx>
      <c:overlay val="0"/>
    </c:title>
    <c:plotArea>
      <c:layout/>
      <c:barChart>
        <c:barDir val="col"/>
        <c:ser>
          <c:idx val="0"/>
          <c:order val="0"/>
          <c:spPr>
            <a:solidFill>
              <a:schemeClr val="accent1"/>
            </a:solidFill>
            <a:ln cmpd="sng">
              <a:solidFill>
                <a:srgbClr val="000000"/>
              </a:solidFill>
            </a:ln>
          </c:spPr>
          <c:cat>
            <c:strRef>
              <c:f>'State Representative, Dist 4'!$A$39:$A$41</c:f>
            </c:strRef>
          </c:cat>
          <c:val>
            <c:numRef>
              <c:f>'State Representative, Dist 4'!$B$39:$B$41</c:f>
              <c:numCache/>
            </c:numRef>
          </c:val>
        </c:ser>
        <c:axId val="571011089"/>
        <c:axId val="1348843446"/>
      </c:barChart>
      <c:catAx>
        <c:axId val="5710110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48843446"/>
      </c:catAx>
      <c:valAx>
        <c:axId val="13488434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71011089"/>
      </c:valAx>
    </c:plotArea>
  </c:chart>
</c:chartSpace>
</file>

<file path=xl/charts/chart1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4'!$A$47:$A$49</c:f>
            </c:strRef>
          </c:cat>
          <c:val>
            <c:numRef>
              <c:f>'State Representative, Dist 4'!$B$47:$B$49</c:f>
              <c:numCache/>
            </c:numRef>
          </c:val>
        </c:ser>
        <c:axId val="1044160885"/>
        <c:axId val="626803350"/>
      </c:barChart>
      <c:catAx>
        <c:axId val="10441608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26803350"/>
      </c:catAx>
      <c:valAx>
        <c:axId val="6268033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044160885"/>
      </c:valAx>
    </c:plotArea>
  </c:chart>
</c:chartSpace>
</file>

<file path=xl/charts/chart1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4'!$P$11:$P$19</c:f>
            </c:strRef>
          </c:cat>
          <c:val>
            <c:numRef>
              <c:f>'State Representative, Dist 4'!$Q$11:$Q$19</c:f>
              <c:numCache/>
            </c:numRef>
          </c:val>
        </c:ser>
        <c:axId val="184158966"/>
        <c:axId val="2066993415"/>
      </c:barChart>
      <c:catAx>
        <c:axId val="1841589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066993415"/>
      </c:catAx>
      <c:valAx>
        <c:axId val="20669934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158966"/>
      </c:valAx>
    </c:plotArea>
  </c:chart>
</c:chartSpace>
</file>

<file path=xl/charts/chart1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4'!$P$23:$P$42</c:f>
            </c:strRef>
          </c:cat>
          <c:val>
            <c:numRef>
              <c:f>'State Representative, Dist 4'!$Q$23:$Q$42</c:f>
              <c:numCache/>
            </c:numRef>
          </c:val>
        </c:ser>
        <c:axId val="1597130444"/>
        <c:axId val="865061396"/>
      </c:barChart>
      <c:catAx>
        <c:axId val="15971304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65061396"/>
      </c:catAx>
      <c:valAx>
        <c:axId val="8650613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7130444"/>
      </c:valAx>
    </c:plotArea>
  </c:chart>
</c:chartSpace>
</file>

<file path=xl/charts/chart1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4'!$P$46:$P$50</c:f>
            </c:strRef>
          </c:cat>
          <c:val>
            <c:numRef>
              <c:f>'State Representative, Dist 4'!$Q$46:$Q$50</c:f>
              <c:numCache/>
            </c:numRef>
          </c:val>
        </c:ser>
        <c:axId val="573312160"/>
        <c:axId val="1426586291"/>
      </c:barChart>
      <c:catAx>
        <c:axId val="5733121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26586291"/>
      </c:catAx>
      <c:valAx>
        <c:axId val="1426586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3312160"/>
      </c:valAx>
    </c:plotArea>
  </c:chart>
</c:chartSpace>
</file>

<file path=xl/charts/chart1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5'!$A$5:$A$7</c:f>
            </c:strRef>
          </c:cat>
          <c:val>
            <c:numRef>
              <c:f>'State Representative, Dist 5'!$B$5:$B$7</c:f>
              <c:numCache/>
            </c:numRef>
          </c:val>
        </c:ser>
        <c:axId val="253197727"/>
        <c:axId val="1086612804"/>
      </c:barChart>
      <c:catAx>
        <c:axId val="2531977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86612804"/>
      </c:catAx>
      <c:valAx>
        <c:axId val="10866128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53197727"/>
      </c:valAx>
    </c:plotArea>
  </c:chart>
</c:chartSpace>
</file>

<file path=xl/charts/chart1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5'!$A$13:$A$16</c:f>
            </c:strRef>
          </c:cat>
          <c:val>
            <c:numRef>
              <c:f>'State Representative, Dist 5'!$B$13:$B$16</c:f>
              <c:numCache/>
            </c:numRef>
          </c:val>
        </c:ser>
        <c:axId val="525789234"/>
        <c:axId val="603307723"/>
      </c:barChart>
      <c:catAx>
        <c:axId val="525789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03307723"/>
      </c:catAx>
      <c:valAx>
        <c:axId val="6033077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25789234"/>
      </c:valAx>
    </c:plotArea>
  </c:chart>
</c:chartSpace>
</file>

<file path=xl/charts/chart1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(L)</a:t>
            </a:r>
          </a:p>
        </c:rich>
      </c:tx>
      <c:overlay val="0"/>
    </c:title>
    <c:plotArea>
      <c:layout/>
      <c:barChart>
        <c:barDir val="col"/>
        <c:ser>
          <c:idx val="0"/>
          <c:order val="0"/>
          <c:spPr>
            <a:solidFill>
              <a:schemeClr val="accent1"/>
            </a:solidFill>
            <a:ln cmpd="sng">
              <a:solidFill>
                <a:srgbClr val="000000"/>
              </a:solidFill>
            </a:ln>
          </c:spPr>
          <c:cat>
            <c:strRef>
              <c:f>'State Representative, Dist 5'!$A$22:$A$24</c:f>
            </c:strRef>
          </c:cat>
          <c:val>
            <c:numRef>
              <c:f>'State Representative, Dist 5'!$B$22:$B$24</c:f>
              <c:numCache/>
            </c:numRef>
          </c:val>
        </c:ser>
        <c:axId val="480090189"/>
        <c:axId val="807858222"/>
      </c:barChart>
      <c:catAx>
        <c:axId val="4800901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07858222"/>
      </c:catAx>
      <c:valAx>
        <c:axId val="8078582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80090189"/>
      </c:valAx>
    </c:plotArea>
  </c:chart>
</c:chartSpace>
</file>

<file path=xl/charts/chart16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5'!$A$32:$A$34</c:f>
            </c:strRef>
          </c:cat>
          <c:val>
            <c:numRef>
              <c:f>'State Representative, Dist 5'!$B$32:$B$34</c:f>
              <c:numCache/>
            </c:numRef>
          </c:val>
        </c:ser>
        <c:axId val="2045529871"/>
        <c:axId val="1785957129"/>
      </c:barChart>
      <c:catAx>
        <c:axId val="20455298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85957129"/>
      </c:catAx>
      <c:valAx>
        <c:axId val="17859571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045529871"/>
      </c:valAx>
    </c:plotArea>
  </c:chart>
</c:chartSpace>
</file>

<file path=xl/charts/chart16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(L)</a:t>
            </a:r>
          </a:p>
        </c:rich>
      </c:tx>
      <c:overlay val="0"/>
    </c:title>
    <c:plotArea>
      <c:layout/>
      <c:barChart>
        <c:barDir val="col"/>
        <c:ser>
          <c:idx val="0"/>
          <c:order val="0"/>
          <c:spPr>
            <a:solidFill>
              <a:schemeClr val="accent1"/>
            </a:solidFill>
            <a:ln cmpd="sng">
              <a:solidFill>
                <a:srgbClr val="000000"/>
              </a:solidFill>
            </a:ln>
          </c:spPr>
          <c:cat>
            <c:strRef>
              <c:f>'State Representative, Dist 5'!$A$40:$A$42</c:f>
            </c:strRef>
          </c:cat>
          <c:val>
            <c:numRef>
              <c:f>'State Representative, Dist 5'!$B$40:$B$42</c:f>
              <c:numCache/>
            </c:numRef>
          </c:val>
        </c:ser>
        <c:axId val="925800607"/>
        <c:axId val="1480697812"/>
      </c:barChart>
      <c:catAx>
        <c:axId val="9258006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80697812"/>
      </c:catAx>
      <c:valAx>
        <c:axId val="14806978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25800607"/>
      </c:valAx>
    </c:plotArea>
  </c:chart>
</c:chartSpace>
</file>

<file path=xl/charts/chart16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5'!$A$48:$A$50</c:f>
            </c:strRef>
          </c:cat>
          <c:val>
            <c:numRef>
              <c:f>'State Representative, Dist 5'!$B$48:$B$50</c:f>
              <c:numCache/>
            </c:numRef>
          </c:val>
        </c:ser>
        <c:axId val="1828483057"/>
        <c:axId val="1340162753"/>
      </c:barChart>
      <c:catAx>
        <c:axId val="18284830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40162753"/>
      </c:catAx>
      <c:valAx>
        <c:axId val="13401627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28483057"/>
      </c:valAx>
    </c:plotArea>
  </c:chart>
</c:chartSpace>
</file>

<file path=xl/charts/chart16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5'!$P$11:$P$19</c:f>
            </c:strRef>
          </c:cat>
          <c:val>
            <c:numRef>
              <c:f>'State Representative, Dist 5'!$Q$11:$Q$19</c:f>
              <c:numCache/>
            </c:numRef>
          </c:val>
        </c:ser>
        <c:axId val="463023101"/>
        <c:axId val="749297685"/>
      </c:barChart>
      <c:catAx>
        <c:axId val="4630231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49297685"/>
      </c:catAx>
      <c:valAx>
        <c:axId val="7492976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3023101"/>
      </c:valAx>
    </c:plotArea>
  </c:chart>
</c:chartSpace>
</file>

<file path=xl/charts/chart16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5'!$P$23:$P$42</c:f>
            </c:strRef>
          </c:cat>
          <c:val>
            <c:numRef>
              <c:f>'State Representative, Dist 5'!$Q$23:$Q$42</c:f>
              <c:numCache/>
            </c:numRef>
          </c:val>
        </c:ser>
        <c:axId val="354607277"/>
        <c:axId val="1043473355"/>
      </c:barChart>
      <c:catAx>
        <c:axId val="3546072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43473355"/>
      </c:catAx>
      <c:valAx>
        <c:axId val="10434733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4607277"/>
      </c:valAx>
    </c:plotArea>
  </c:chart>
</c:chartSpace>
</file>

<file path=xl/charts/chart16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5'!$P$46:$P$50</c:f>
            </c:strRef>
          </c:cat>
          <c:val>
            <c:numRef>
              <c:f>'State Representative, Dist 5'!$Q$46:$Q$50</c:f>
              <c:numCache/>
            </c:numRef>
          </c:val>
        </c:ser>
        <c:axId val="764923486"/>
        <c:axId val="2115282026"/>
      </c:barChart>
      <c:catAx>
        <c:axId val="7649234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115282026"/>
      </c:catAx>
      <c:valAx>
        <c:axId val="21152820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4923486"/>
      </c:valAx>
    </c:plotArea>
  </c:chart>
</c:chartSpace>
</file>

<file path=xl/charts/chart16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6'!$A$5:$A$7</c:f>
            </c:strRef>
          </c:cat>
          <c:val>
            <c:numRef>
              <c:f>'State Representative, Dist 6'!$B$5:$B$7</c:f>
              <c:numCache/>
            </c:numRef>
          </c:val>
        </c:ser>
        <c:axId val="1823521910"/>
        <c:axId val="173551735"/>
      </c:barChart>
      <c:catAx>
        <c:axId val="18235219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3551735"/>
      </c:catAx>
      <c:valAx>
        <c:axId val="1735517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23521910"/>
      </c:valAx>
    </c:plotArea>
  </c:chart>
</c:chartSpace>
</file>

<file path=xl/charts/chart16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6'!$A$13:$A$17</c:f>
            </c:strRef>
          </c:cat>
          <c:val>
            <c:numRef>
              <c:f>'State Representative, Dist 6'!$B$13:$B$17</c:f>
              <c:numCache/>
            </c:numRef>
          </c:val>
        </c:ser>
        <c:axId val="266404515"/>
        <c:axId val="1858268870"/>
      </c:barChart>
      <c:catAx>
        <c:axId val="2664045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858268870"/>
      </c:catAx>
      <c:valAx>
        <c:axId val="18582688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66404515"/>
      </c:valAx>
    </c:plotArea>
  </c:chart>
</c:chartSpace>
</file>

<file path=xl/charts/chart17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6'!$A$24:$A$26</c:f>
            </c:strRef>
          </c:cat>
          <c:val>
            <c:numRef>
              <c:f>'State Representative, Dist 6'!$B$24:$B$26</c:f>
              <c:numCache/>
            </c:numRef>
          </c:val>
        </c:ser>
        <c:axId val="2116538667"/>
        <c:axId val="369904541"/>
      </c:barChart>
      <c:catAx>
        <c:axId val="21165386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69904541"/>
      </c:catAx>
      <c:valAx>
        <c:axId val="3699045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116538667"/>
      </c:valAx>
    </c:plotArea>
  </c:chart>
</c:chartSpace>
</file>

<file path=xl/charts/chart17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6'!$A$32:$A$36</c:f>
            </c:strRef>
          </c:cat>
          <c:val>
            <c:numRef>
              <c:f>'State Representative, Dist 6'!$B$32:$B$36</c:f>
              <c:numCache/>
            </c:numRef>
          </c:val>
        </c:ser>
        <c:axId val="685295003"/>
        <c:axId val="1581858182"/>
      </c:barChart>
      <c:catAx>
        <c:axId val="685295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81858182"/>
      </c:catAx>
      <c:valAx>
        <c:axId val="15818581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85295003"/>
      </c:valAx>
    </c:plotArea>
  </c:chart>
</c:chartSpace>
</file>

<file path=xl/charts/chart17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6'!$N$11:$N$20</c:f>
            </c:strRef>
          </c:cat>
          <c:val>
            <c:numRef>
              <c:f>'State Representative, Dist 6'!$O$11:$O$20</c:f>
              <c:numCache/>
            </c:numRef>
          </c:val>
        </c:ser>
        <c:axId val="2102502874"/>
        <c:axId val="1817099109"/>
      </c:barChart>
      <c:catAx>
        <c:axId val="21025028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17099109"/>
      </c:catAx>
      <c:valAx>
        <c:axId val="1817099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2502874"/>
      </c:valAx>
    </c:plotArea>
  </c:chart>
</c:chartSpace>
</file>

<file path=xl/charts/chart17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6'!$N$23:$N$42</c:f>
            </c:strRef>
          </c:cat>
          <c:val>
            <c:numRef>
              <c:f>'State Representative, Dist 6'!$O$23:$O$42</c:f>
              <c:numCache/>
            </c:numRef>
          </c:val>
        </c:ser>
        <c:axId val="1275189805"/>
        <c:axId val="787974936"/>
      </c:barChart>
      <c:catAx>
        <c:axId val="12751898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87974936"/>
      </c:catAx>
      <c:valAx>
        <c:axId val="7879749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5189805"/>
      </c:valAx>
    </c:plotArea>
  </c:chart>
</c:chartSpace>
</file>

<file path=xl/charts/chart17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6'!$N$46:$N$50</c:f>
            </c:strRef>
          </c:cat>
          <c:val>
            <c:numRef>
              <c:f>'State Representative, Dist 6'!$O$46:$O$50</c:f>
              <c:numCache/>
            </c:numRef>
          </c:val>
        </c:ser>
        <c:axId val="1759384578"/>
        <c:axId val="541220782"/>
      </c:barChart>
      <c:catAx>
        <c:axId val="17593845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41220782"/>
      </c:catAx>
      <c:valAx>
        <c:axId val="541220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9384578"/>
      </c:valAx>
    </c:plotArea>
  </c:chart>
</c:chartSpace>
</file>

<file path=xl/charts/chart17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7'!$A$5:$A$7</c:f>
            </c:strRef>
          </c:cat>
          <c:val>
            <c:numRef>
              <c:f>'State Representative, Dist 7'!$B$5:$B$7</c:f>
              <c:numCache/>
            </c:numRef>
          </c:val>
        </c:ser>
        <c:axId val="901897110"/>
        <c:axId val="26130010"/>
      </c:barChart>
      <c:catAx>
        <c:axId val="9018971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6130010"/>
      </c:catAx>
      <c:valAx>
        <c:axId val="261300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01897110"/>
      </c:valAx>
    </c:plotArea>
  </c:chart>
</c:chartSpace>
</file>

<file path=xl/charts/chart17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7'!$A$13:$A$15</c:f>
            </c:strRef>
          </c:cat>
          <c:val>
            <c:numRef>
              <c:f>'State Representative, Dist 7'!$B$13:$B$15</c:f>
              <c:numCache/>
            </c:numRef>
          </c:val>
        </c:ser>
        <c:axId val="1770012240"/>
        <c:axId val="1772550882"/>
      </c:barChart>
      <c:catAx>
        <c:axId val="17700122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72550882"/>
      </c:catAx>
      <c:valAx>
        <c:axId val="17725508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70012240"/>
      </c:valAx>
    </c:plotArea>
  </c:chart>
</c:chartSpace>
</file>

<file path=xl/charts/chart17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7'!$A$23:$A$25</c:f>
            </c:strRef>
          </c:cat>
          <c:val>
            <c:numRef>
              <c:f>'State Representative, Dist 7'!$B$23:$B$25</c:f>
              <c:numCache/>
            </c:numRef>
          </c:val>
        </c:ser>
        <c:axId val="163881069"/>
        <c:axId val="1414489679"/>
      </c:barChart>
      <c:catAx>
        <c:axId val="1638810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14489679"/>
      </c:catAx>
      <c:valAx>
        <c:axId val="14144896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63881069"/>
      </c:valAx>
    </c:plotArea>
  </c:chart>
</c:chartSpace>
</file>

<file path=xl/charts/chart17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7'!$N$11:$N$19</c:f>
            </c:strRef>
          </c:cat>
          <c:val>
            <c:numRef>
              <c:f>'State Representative, Dist 7'!$O$11:$O$19</c:f>
              <c:numCache/>
            </c:numRef>
          </c:val>
        </c:ser>
        <c:axId val="372743401"/>
        <c:axId val="1863265927"/>
      </c:barChart>
      <c:catAx>
        <c:axId val="3727434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63265927"/>
      </c:catAx>
      <c:valAx>
        <c:axId val="18632659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2743401"/>
      </c:valAx>
    </c:plotArea>
  </c:chart>
</c:chartSpace>
</file>

<file path=xl/charts/chart17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7'!$N$23:$N$42</c:f>
            </c:strRef>
          </c:cat>
          <c:val>
            <c:numRef>
              <c:f>'State Representative, Dist 7'!$O$23:$O$42</c:f>
              <c:numCache/>
            </c:numRef>
          </c:val>
        </c:ser>
        <c:axId val="102098364"/>
        <c:axId val="1351403126"/>
      </c:barChart>
      <c:catAx>
        <c:axId val="1020983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51403126"/>
      </c:catAx>
      <c:valAx>
        <c:axId val="13514031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098364"/>
      </c:valAx>
    </c:plotArea>
  </c:chart>
</c:chartSpace>
</file>

<file path=xl/charts/chart18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7'!$N$46:$N$50</c:f>
            </c:strRef>
          </c:cat>
          <c:val>
            <c:numRef>
              <c:f>'State Representative, Dist 7'!$O$46:$O$50</c:f>
              <c:numCache/>
            </c:numRef>
          </c:val>
        </c:ser>
        <c:axId val="332589055"/>
        <c:axId val="598441088"/>
      </c:barChart>
      <c:catAx>
        <c:axId val="3325890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98441088"/>
      </c:catAx>
      <c:valAx>
        <c:axId val="5984410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2589055"/>
      </c:valAx>
    </c:plotArea>
  </c:chart>
</c:chartSpace>
</file>

<file path=xl/charts/chart18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8'!$A$5:$A$7</c:f>
            </c:strRef>
          </c:cat>
          <c:val>
            <c:numRef>
              <c:f>'State Representative, Dist 8'!$B$5:$B$7</c:f>
              <c:numCache/>
            </c:numRef>
          </c:val>
        </c:ser>
        <c:axId val="766352102"/>
        <c:axId val="930749205"/>
      </c:barChart>
      <c:catAx>
        <c:axId val="7663521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30749205"/>
      </c:catAx>
      <c:valAx>
        <c:axId val="9307492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66352102"/>
      </c:valAx>
    </c:plotArea>
  </c:chart>
</c:chartSpace>
</file>

<file path=xl/charts/chart18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8'!$A$13:$A$15</c:f>
            </c:strRef>
          </c:cat>
          <c:val>
            <c:numRef>
              <c:f>'State Representative, Dist 8'!$B$13:$B$15</c:f>
              <c:numCache/>
            </c:numRef>
          </c:val>
        </c:ser>
        <c:axId val="139430563"/>
        <c:axId val="203919465"/>
      </c:barChart>
      <c:catAx>
        <c:axId val="1394305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3919465"/>
      </c:catAx>
      <c:valAx>
        <c:axId val="2039194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9430563"/>
      </c:valAx>
    </c:plotArea>
  </c:chart>
</c:chartSpace>
</file>

<file path=xl/charts/chart18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8'!$A$23:$A$25</c:f>
            </c:strRef>
          </c:cat>
          <c:val>
            <c:numRef>
              <c:f>'State Representative, Dist 8'!$B$23:$B$25</c:f>
              <c:numCache/>
            </c:numRef>
          </c:val>
        </c:ser>
        <c:axId val="1579079921"/>
        <c:axId val="817093529"/>
      </c:barChart>
      <c:catAx>
        <c:axId val="15790799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17093529"/>
      </c:catAx>
      <c:valAx>
        <c:axId val="8170935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79079921"/>
      </c:valAx>
    </c:plotArea>
  </c:chart>
</c:chartSpace>
</file>

<file path=xl/charts/chart18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8'!$A$31:$A$34</c:f>
            </c:strRef>
          </c:cat>
          <c:val>
            <c:numRef>
              <c:f>'State Representative, Dist 8'!$B$31:$B$34</c:f>
              <c:numCache/>
            </c:numRef>
          </c:val>
        </c:ser>
        <c:axId val="2024747470"/>
        <c:axId val="1457957880"/>
      </c:barChart>
      <c:catAx>
        <c:axId val="20247474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57957880"/>
      </c:catAx>
      <c:valAx>
        <c:axId val="14579578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024747470"/>
      </c:valAx>
    </c:plotArea>
  </c:chart>
</c:chartSpace>
</file>

<file path=xl/charts/chart18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8'!$P$11:$P$19</c:f>
            </c:strRef>
          </c:cat>
          <c:val>
            <c:numRef>
              <c:f>'State Representative, Dist 8'!$Q$11:$Q$19</c:f>
              <c:numCache/>
            </c:numRef>
          </c:val>
        </c:ser>
        <c:axId val="1728675555"/>
        <c:axId val="1369607406"/>
      </c:barChart>
      <c:catAx>
        <c:axId val="17286755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69607406"/>
      </c:catAx>
      <c:valAx>
        <c:axId val="13696074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8675555"/>
      </c:valAx>
    </c:plotArea>
  </c:chart>
</c:chartSpace>
</file>

<file path=xl/charts/chart18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8'!$P$23:$P$42</c:f>
            </c:strRef>
          </c:cat>
          <c:val>
            <c:numRef>
              <c:f>'State Representative, Dist 8'!$Q$23:$Q$42</c:f>
              <c:numCache/>
            </c:numRef>
          </c:val>
        </c:ser>
        <c:axId val="685265519"/>
        <c:axId val="1333690403"/>
      </c:barChart>
      <c:catAx>
        <c:axId val="6852655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33690403"/>
      </c:catAx>
      <c:valAx>
        <c:axId val="13336904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5265519"/>
      </c:valAx>
    </c:plotArea>
  </c:chart>
</c:chartSpace>
</file>

<file path=xl/charts/chart18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8'!$P$46:$P$50</c:f>
            </c:strRef>
          </c:cat>
          <c:val>
            <c:numRef>
              <c:f>'State Representative, Dist 8'!$Q$46:$Q$50</c:f>
              <c:numCache/>
            </c:numRef>
          </c:val>
        </c:ser>
        <c:axId val="1544975668"/>
        <c:axId val="570855616"/>
      </c:barChart>
      <c:catAx>
        <c:axId val="15449756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70855616"/>
      </c:catAx>
      <c:valAx>
        <c:axId val="5708556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4975668"/>
      </c:valAx>
    </c:plotArea>
  </c:chart>
</c:chartSpace>
</file>

<file path=xl/charts/chart18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9'!$A$5:$A$7</c:f>
            </c:strRef>
          </c:cat>
          <c:val>
            <c:numRef>
              <c:f>'State Representative, Dist 9'!$B$5:$B$7</c:f>
              <c:numCache/>
            </c:numRef>
          </c:val>
        </c:ser>
        <c:axId val="528936517"/>
        <c:axId val="214838166"/>
      </c:barChart>
      <c:catAx>
        <c:axId val="5289365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14838166"/>
      </c:catAx>
      <c:valAx>
        <c:axId val="2148381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28936517"/>
      </c:valAx>
    </c:plotArea>
  </c:chart>
</c:chartSpace>
</file>

<file path=xl/charts/chart18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9'!$A$15:$A$18</c:f>
            </c:strRef>
          </c:cat>
          <c:val>
            <c:numRef>
              <c:f>'State Representative, Dist 9'!$B$15:$B$18</c:f>
              <c:numCache/>
            </c:numRef>
          </c:val>
        </c:ser>
        <c:axId val="367583591"/>
        <c:axId val="1572472947"/>
      </c:barChart>
      <c:catAx>
        <c:axId val="3675835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72472947"/>
      </c:catAx>
      <c:valAx>
        <c:axId val="1572472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67583591"/>
      </c:valAx>
    </c:plotArea>
  </c:chart>
</c:chartSpace>
</file>

<file path=xl/charts/chart19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9'!$P$11:$P$19</c:f>
            </c:strRef>
          </c:cat>
          <c:val>
            <c:numRef>
              <c:f>'State Representative, Dist 9'!$Q$11:$Q$19</c:f>
              <c:numCache/>
            </c:numRef>
          </c:val>
        </c:ser>
        <c:axId val="1858701861"/>
        <c:axId val="474817918"/>
      </c:barChart>
      <c:catAx>
        <c:axId val="18587018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74817918"/>
      </c:catAx>
      <c:valAx>
        <c:axId val="4748179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8701861"/>
      </c:valAx>
    </c:plotArea>
  </c:chart>
</c:chartSpace>
</file>

<file path=xl/charts/chart19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9'!$P$23:$P$42</c:f>
            </c:strRef>
          </c:cat>
          <c:val>
            <c:numRef>
              <c:f>'State Representative, Dist 9'!$Q$23:$Q$42</c:f>
              <c:numCache/>
            </c:numRef>
          </c:val>
        </c:ser>
        <c:axId val="296896878"/>
        <c:axId val="1188578096"/>
      </c:barChart>
      <c:catAx>
        <c:axId val="2968968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88578096"/>
      </c:catAx>
      <c:valAx>
        <c:axId val="11885780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6896878"/>
      </c:valAx>
    </c:plotArea>
  </c:chart>
</c:chartSpace>
</file>

<file path=xl/charts/chart19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9'!$P$46:$P$50</c:f>
            </c:strRef>
          </c:cat>
          <c:val>
            <c:numRef>
              <c:f>'State Representative, Dist 9'!$Q$46:$Q$50</c:f>
              <c:numCache/>
            </c:numRef>
          </c:val>
        </c:ser>
        <c:axId val="1585349570"/>
        <c:axId val="1142575986"/>
      </c:barChart>
      <c:catAx>
        <c:axId val="15853495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42575986"/>
      </c:catAx>
      <c:valAx>
        <c:axId val="11425759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5349570"/>
      </c:valAx>
    </c:plotArea>
  </c:chart>
</c:chartSpace>
</file>

<file path=xl/charts/chart19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10'!$A$5:$A$8</c:f>
            </c:strRef>
          </c:cat>
          <c:val>
            <c:numRef>
              <c:f>'State Representative, Dist 10'!$B$5:$B$8</c:f>
              <c:numCache/>
            </c:numRef>
          </c:val>
        </c:ser>
        <c:axId val="1725409086"/>
        <c:axId val="1386168210"/>
      </c:barChart>
      <c:catAx>
        <c:axId val="17254090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86168210"/>
      </c:catAx>
      <c:valAx>
        <c:axId val="13861682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25409086"/>
      </c:valAx>
    </c:plotArea>
  </c:chart>
</c:chartSpace>
</file>

<file path=xl/charts/chart19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10'!$A$16:$A$18</c:f>
            </c:strRef>
          </c:cat>
          <c:val>
            <c:numRef>
              <c:f>'State Representative, Dist 10'!$B$16:$B$18</c:f>
              <c:numCache/>
            </c:numRef>
          </c:val>
        </c:ser>
        <c:axId val="1895437650"/>
        <c:axId val="2036214013"/>
      </c:barChart>
      <c:catAx>
        <c:axId val="18954376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36214013"/>
      </c:catAx>
      <c:valAx>
        <c:axId val="20362140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95437650"/>
      </c:valAx>
    </c:plotArea>
  </c:chart>
</c:chartSpace>
</file>

<file path=xl/charts/chart19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cat>
            <c:strRef>
              <c:f>'State Representative, Dist 10'!$M$11:$M$19</c:f>
            </c:strRef>
          </c:cat>
          <c:val>
            <c:numRef>
              <c:f>'State Representative, Dist 10'!$N$11:$N$19</c:f>
              <c:numCache/>
            </c:numRef>
          </c:val>
        </c:ser>
        <c:axId val="908759997"/>
        <c:axId val="511844966"/>
      </c:barChart>
      <c:catAx>
        <c:axId val="9087599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11844966"/>
      </c:catAx>
      <c:valAx>
        <c:axId val="511844966"/>
        <c:scaling>
          <c:orientation val="minMax"/>
        </c:scaling>
        <c:delete val="0"/>
        <c:axPos val="l"/>
        <c:tickLblPos val="nextTo"/>
        <c:spPr>
          <a:ln>
            <a:noFill/>
          </a:ln>
        </c:spPr>
        <c:crossAx val="908759997"/>
      </c:valAx>
    </c:plotArea>
  </c:chart>
</c:chartSpace>
</file>

<file path=xl/charts/chart19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cat>
            <c:strRef>
              <c:f>'State Representative, Dist 10'!$M$23:$M$42</c:f>
            </c:strRef>
          </c:cat>
          <c:val>
            <c:numRef>
              <c:f>'State Representative, Dist 10'!$N$23:$N$42</c:f>
              <c:numCache/>
            </c:numRef>
          </c:val>
        </c:ser>
        <c:axId val="2043047000"/>
        <c:axId val="2109133360"/>
      </c:barChart>
      <c:catAx>
        <c:axId val="20430470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109133360"/>
      </c:catAx>
      <c:valAx>
        <c:axId val="2109133360"/>
        <c:scaling>
          <c:orientation val="minMax"/>
        </c:scaling>
        <c:delete val="0"/>
        <c:axPos val="l"/>
        <c:tickLblPos val="nextTo"/>
        <c:spPr>
          <a:ln>
            <a:noFill/>
          </a:ln>
        </c:spPr>
        <c:crossAx val="2043047000"/>
      </c:valAx>
    </c:plotArea>
  </c:chart>
</c:chartSpace>
</file>

<file path=xl/charts/chart19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cat>
            <c:strRef>
              <c:f>'State Representative, Dist 10'!$M$46:$M$50</c:f>
            </c:strRef>
          </c:cat>
          <c:val>
            <c:numRef>
              <c:f>'State Representative, Dist 10'!$N$46:$N$50</c:f>
              <c:numCache/>
            </c:numRef>
          </c:val>
        </c:ser>
        <c:axId val="1957661462"/>
        <c:axId val="659400947"/>
      </c:barChart>
      <c:catAx>
        <c:axId val="19576614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59400947"/>
      </c:catAx>
      <c:valAx>
        <c:axId val="659400947"/>
        <c:scaling>
          <c:orientation val="minMax"/>
        </c:scaling>
        <c:delete val="0"/>
        <c:axPos val="l"/>
        <c:tickLblPos val="nextTo"/>
        <c:spPr>
          <a:ln>
            <a:noFill/>
          </a:ln>
        </c:spPr>
        <c:crossAx val="1957661462"/>
      </c:valAx>
    </c:plotArea>
  </c:chart>
</c:chartSpace>
</file>

<file path=xl/charts/chart19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11'!$A$5:$A$7</c:f>
            </c:strRef>
          </c:cat>
          <c:val>
            <c:numRef>
              <c:f>'State Representative, Dist 11'!$B$5:$B$7</c:f>
              <c:numCache/>
            </c:numRef>
          </c:val>
        </c:ser>
        <c:axId val="1306503925"/>
        <c:axId val="1684427511"/>
      </c:barChart>
      <c:catAx>
        <c:axId val="13065039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84427511"/>
      </c:catAx>
      <c:valAx>
        <c:axId val="16844275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06503925"/>
      </c:valAx>
    </c:plotArea>
  </c:chart>
</c:chartSpace>
</file>

<file path=xl/charts/chart19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11'!$A$13:$A$15</c:f>
            </c:strRef>
          </c:cat>
          <c:val>
            <c:numRef>
              <c:f>'State Representative, Dist 11'!$B$13:$B$15</c:f>
              <c:numCache/>
            </c:numRef>
          </c:val>
        </c:ser>
        <c:axId val="1308496872"/>
        <c:axId val="394018853"/>
      </c:barChart>
      <c:catAx>
        <c:axId val="13084968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94018853"/>
      </c:catAx>
      <c:valAx>
        <c:axId val="3940188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08496872"/>
      </c:valAx>
    </c:plotArea>
  </c:chart>
</c:chartSpace>
</file>

<file path=xl/charts/chart20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11'!$A$23:$A$26</c:f>
            </c:strRef>
          </c:cat>
          <c:val>
            <c:numRef>
              <c:f>'State Representative, Dist 11'!$B$23:$B$26</c:f>
              <c:numCache/>
            </c:numRef>
          </c:val>
        </c:ser>
        <c:axId val="1794255391"/>
        <c:axId val="1650422947"/>
      </c:barChart>
      <c:catAx>
        <c:axId val="17942553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50422947"/>
      </c:catAx>
      <c:valAx>
        <c:axId val="1650422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94255391"/>
      </c:valAx>
    </c:plotArea>
  </c:chart>
</c:chartSpace>
</file>

<file path=xl/charts/chart20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11'!$A$32:$A$35</c:f>
            </c:strRef>
          </c:cat>
          <c:val>
            <c:numRef>
              <c:f>'State Representative, Dist 11'!$B$32:$B$35</c:f>
              <c:numCache/>
            </c:numRef>
          </c:val>
        </c:ser>
        <c:axId val="904666806"/>
        <c:axId val="811169747"/>
      </c:barChart>
      <c:catAx>
        <c:axId val="9046668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11169747"/>
      </c:catAx>
      <c:valAx>
        <c:axId val="8111697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04666806"/>
      </c:valAx>
    </c:plotArea>
  </c:chart>
</c:chartSpace>
</file>

<file path=xl/charts/chart20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cat>
            <c:strRef>
              <c:f>'State Representative, Dist 11'!$M$11:$M$19</c:f>
            </c:strRef>
          </c:cat>
          <c:val>
            <c:numRef>
              <c:f>'State Representative, Dist 11'!$N$11:$N$19</c:f>
              <c:numCache/>
            </c:numRef>
          </c:val>
        </c:ser>
        <c:axId val="1113373454"/>
        <c:axId val="227832221"/>
      </c:barChart>
      <c:catAx>
        <c:axId val="11133734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27832221"/>
      </c:catAx>
      <c:valAx>
        <c:axId val="227832221"/>
        <c:scaling>
          <c:orientation val="minMax"/>
        </c:scaling>
        <c:delete val="0"/>
        <c:axPos val="l"/>
        <c:tickLblPos val="nextTo"/>
        <c:spPr>
          <a:ln>
            <a:noFill/>
          </a:ln>
        </c:spPr>
        <c:crossAx val="1113373454"/>
      </c:valAx>
    </c:plotArea>
  </c:chart>
</c:chartSpace>
</file>

<file path=xl/charts/chart20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cat>
            <c:strRef>
              <c:f>'State Representative, Dist 11'!$M$23:$M$42</c:f>
            </c:strRef>
          </c:cat>
          <c:val>
            <c:numRef>
              <c:f>'State Representative, Dist 11'!$N$23:$N$42</c:f>
              <c:numCache/>
            </c:numRef>
          </c:val>
        </c:ser>
        <c:axId val="2096742632"/>
        <c:axId val="433758319"/>
      </c:barChart>
      <c:catAx>
        <c:axId val="20967426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33758319"/>
      </c:catAx>
      <c:valAx>
        <c:axId val="433758319"/>
        <c:scaling>
          <c:orientation val="minMax"/>
        </c:scaling>
        <c:delete val="0"/>
        <c:axPos val="l"/>
        <c:tickLblPos val="nextTo"/>
        <c:spPr>
          <a:ln>
            <a:noFill/>
          </a:ln>
        </c:spPr>
        <c:crossAx val="2096742632"/>
      </c:valAx>
    </c:plotArea>
  </c:chart>
</c:chartSpace>
</file>

<file path=xl/charts/chart20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cat>
            <c:strRef>
              <c:f>'State Representative, Dist 11'!$M$46:$M$50</c:f>
            </c:strRef>
          </c:cat>
          <c:val>
            <c:numRef>
              <c:f>'State Representative, Dist 11'!$N$46:$N$50</c:f>
              <c:numCache/>
            </c:numRef>
          </c:val>
        </c:ser>
        <c:axId val="60232184"/>
        <c:axId val="1880153561"/>
      </c:barChart>
      <c:catAx>
        <c:axId val="602321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80153561"/>
      </c:catAx>
      <c:valAx>
        <c:axId val="1880153561"/>
        <c:scaling>
          <c:orientation val="minMax"/>
        </c:scaling>
        <c:delete val="0"/>
        <c:axPos val="l"/>
        <c:tickLblPos val="nextTo"/>
        <c:spPr>
          <a:ln>
            <a:noFill/>
          </a:ln>
        </c:spPr>
        <c:crossAx val="60232184"/>
      </c:valAx>
    </c:plotArea>
  </c:chart>
</c:chartSpace>
</file>

<file path=xl/charts/chart20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(Green)</a:t>
            </a:r>
          </a:p>
        </c:rich>
      </c:tx>
      <c:overlay val="0"/>
    </c:title>
    <c:plotArea>
      <c:layout/>
      <c:barChart>
        <c:barDir val="col"/>
        <c:ser>
          <c:idx val="0"/>
          <c:order val="0"/>
          <c:spPr>
            <a:solidFill>
              <a:schemeClr val="accent1"/>
            </a:solidFill>
            <a:ln cmpd="sng">
              <a:solidFill>
                <a:srgbClr val="000000"/>
              </a:solidFill>
            </a:ln>
          </c:spPr>
          <c:cat>
            <c:strRef>
              <c:f>'State Representative, Dist 12'!$A$5:$A$7</c:f>
            </c:strRef>
          </c:cat>
          <c:val>
            <c:numRef>
              <c:f>'State Representative, Dist 12'!$B$5:$B$7</c:f>
              <c:numCache/>
            </c:numRef>
          </c:val>
        </c:ser>
        <c:axId val="1095571623"/>
        <c:axId val="1707787507"/>
      </c:barChart>
      <c:catAx>
        <c:axId val="10955716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07787507"/>
      </c:catAx>
      <c:valAx>
        <c:axId val="17077875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095571623"/>
      </c:valAx>
    </c:plotArea>
  </c:chart>
</c:chartSpace>
</file>

<file path=xl/charts/chart20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12'!$A$13:$A$15</c:f>
            </c:strRef>
          </c:cat>
          <c:val>
            <c:numRef>
              <c:f>'State Representative, Dist 12'!$B$13:$B$15</c:f>
              <c:numCache/>
            </c:numRef>
          </c:val>
        </c:ser>
        <c:axId val="565941451"/>
        <c:axId val="356814990"/>
      </c:barChart>
      <c:catAx>
        <c:axId val="5659414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56814990"/>
      </c:catAx>
      <c:valAx>
        <c:axId val="3568149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65941451"/>
      </c:valAx>
    </c:plotArea>
  </c:chart>
</c:chartSpace>
</file>

<file path=xl/charts/chart20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12'!$A$21:$A$23</c:f>
            </c:strRef>
          </c:cat>
          <c:val>
            <c:numRef>
              <c:f>'State Representative, Dist 12'!$B$21:$B$23</c:f>
              <c:numCache/>
            </c:numRef>
          </c:val>
        </c:ser>
        <c:axId val="1877390125"/>
        <c:axId val="349288062"/>
      </c:barChart>
      <c:catAx>
        <c:axId val="18773901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49288062"/>
      </c:catAx>
      <c:valAx>
        <c:axId val="3492880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77390125"/>
      </c:valAx>
    </c:plotArea>
  </c:chart>
</c:chartSpace>
</file>

<file path=xl/charts/chart20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(Green)</a:t>
            </a:r>
          </a:p>
        </c:rich>
      </c:tx>
      <c:overlay val="0"/>
    </c:title>
    <c:plotArea>
      <c:layout/>
      <c:barChart>
        <c:barDir val="col"/>
        <c:ser>
          <c:idx val="0"/>
          <c:order val="0"/>
          <c:spPr>
            <a:solidFill>
              <a:schemeClr val="accent1"/>
            </a:solidFill>
            <a:ln cmpd="sng">
              <a:solidFill>
                <a:srgbClr val="000000"/>
              </a:solidFill>
            </a:ln>
          </c:spPr>
          <c:cat>
            <c:strRef>
              <c:f>'State Representative, Dist 12'!$A$31:$A$33</c:f>
            </c:strRef>
          </c:cat>
          <c:val>
            <c:numRef>
              <c:f>'State Representative, Dist 12'!$B$31:$B$33</c:f>
              <c:numCache/>
            </c:numRef>
          </c:val>
        </c:ser>
        <c:axId val="2042100245"/>
        <c:axId val="1625986849"/>
      </c:barChart>
      <c:catAx>
        <c:axId val="20421002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25986849"/>
      </c:catAx>
      <c:valAx>
        <c:axId val="16259868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042100245"/>
      </c:valAx>
    </c:plotArea>
  </c:chart>
</c:chartSpace>
</file>

<file path=xl/charts/chart20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12'!$A$39:$A$41</c:f>
            </c:strRef>
          </c:cat>
          <c:val>
            <c:numRef>
              <c:f>'State Representative, Dist 12'!$B$39:$B$41</c:f>
              <c:numCache/>
            </c:numRef>
          </c:val>
        </c:ser>
        <c:axId val="684123781"/>
        <c:axId val="906007591"/>
      </c:barChart>
      <c:catAx>
        <c:axId val="6841237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06007591"/>
      </c:catAx>
      <c:valAx>
        <c:axId val="906007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84123781"/>
      </c:valAx>
    </c:plotArea>
  </c:chart>
</c:chartSpace>
</file>

<file path=xl/charts/chart2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12'!$A$47:$A$49</c:f>
            </c:strRef>
          </c:cat>
          <c:val>
            <c:numRef>
              <c:f>'State Representative, Dist 12'!$B$47:$B$49</c:f>
              <c:numCache/>
            </c:numRef>
          </c:val>
        </c:ser>
        <c:axId val="635665277"/>
        <c:axId val="1989871461"/>
      </c:barChart>
      <c:catAx>
        <c:axId val="6356652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989871461"/>
      </c:catAx>
      <c:valAx>
        <c:axId val="19898714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35665277"/>
      </c:valAx>
    </c:plotArea>
  </c:chart>
</c:chartSpace>
</file>

<file path=xl/charts/chart2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12'!$P$11:$P$19</c:f>
            </c:strRef>
          </c:cat>
          <c:val>
            <c:numRef>
              <c:f>'State Representative, Dist 12'!$Q$11:$Q$19</c:f>
              <c:numCache/>
            </c:numRef>
          </c:val>
        </c:ser>
        <c:axId val="1644355063"/>
        <c:axId val="214586341"/>
      </c:barChart>
      <c:catAx>
        <c:axId val="16443550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14586341"/>
      </c:catAx>
      <c:valAx>
        <c:axId val="2145863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4355063"/>
      </c:valAx>
    </c:plotArea>
  </c:chart>
</c:chartSpace>
</file>

<file path=xl/charts/chart2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12'!$P$23:$P$42</c:f>
            </c:strRef>
          </c:cat>
          <c:val>
            <c:numRef>
              <c:f>'State Representative, Dist 12'!$Q$23:$Q$42</c:f>
              <c:numCache/>
            </c:numRef>
          </c:val>
        </c:ser>
        <c:axId val="1857460954"/>
        <c:axId val="826990577"/>
      </c:barChart>
      <c:catAx>
        <c:axId val="1857460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26990577"/>
      </c:catAx>
      <c:valAx>
        <c:axId val="8269905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7460954"/>
      </c:valAx>
    </c:plotArea>
  </c:chart>
</c:chartSpace>
</file>

<file path=xl/charts/chart2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12'!$P$46:$P$50</c:f>
            </c:strRef>
          </c:cat>
          <c:val>
            <c:numRef>
              <c:f>'State Representative, Dist 12'!$Q$46:$Q$50</c:f>
              <c:numCache/>
            </c:numRef>
          </c:val>
        </c:ser>
        <c:axId val="968985556"/>
        <c:axId val="1317712934"/>
      </c:barChart>
      <c:catAx>
        <c:axId val="9689855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17712934"/>
      </c:catAx>
      <c:valAx>
        <c:axId val="13177129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8985556"/>
      </c:valAx>
    </c:plotArea>
  </c:chart>
</c:chartSpace>
</file>

<file path=xl/charts/chart2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13'!$A$5:$A$7</c:f>
            </c:strRef>
          </c:cat>
          <c:val>
            <c:numRef>
              <c:f>'State Representative, Dist 13'!$B$5:$B$7</c:f>
              <c:numCache/>
            </c:numRef>
          </c:val>
        </c:ser>
        <c:axId val="1749009434"/>
        <c:axId val="661695118"/>
      </c:barChart>
      <c:catAx>
        <c:axId val="17490094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61695118"/>
      </c:catAx>
      <c:valAx>
        <c:axId val="6616951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49009434"/>
      </c:valAx>
    </c:plotArea>
  </c:chart>
</c:chartSpace>
</file>

<file path=xl/charts/chart2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13'!$A$13:$A$16</c:f>
            </c:strRef>
          </c:cat>
          <c:val>
            <c:numRef>
              <c:f>'State Representative, Dist 13'!$B$13:$B$16</c:f>
              <c:numCache/>
            </c:numRef>
          </c:val>
        </c:ser>
        <c:axId val="914944805"/>
        <c:axId val="177407410"/>
      </c:barChart>
      <c:catAx>
        <c:axId val="9149448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7407410"/>
      </c:catAx>
      <c:valAx>
        <c:axId val="1774074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14944805"/>
      </c:valAx>
    </c:plotArea>
  </c:chart>
</c:chartSpace>
</file>

<file path=xl/charts/chart2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(Green)</a:t>
            </a:r>
          </a:p>
        </c:rich>
      </c:tx>
      <c:overlay val="0"/>
    </c:title>
    <c:plotArea>
      <c:layout/>
      <c:barChart>
        <c:barDir val="col"/>
        <c:ser>
          <c:idx val="0"/>
          <c:order val="0"/>
          <c:spPr>
            <a:solidFill>
              <a:schemeClr val="accent1"/>
            </a:solidFill>
            <a:ln cmpd="sng">
              <a:solidFill>
                <a:srgbClr val="000000"/>
              </a:solidFill>
            </a:ln>
          </c:spPr>
          <c:cat>
            <c:strRef>
              <c:f>'State Representative, Dist 13'!$A$24:$A$26</c:f>
            </c:strRef>
          </c:cat>
          <c:val>
            <c:numRef>
              <c:f>'State Representative, Dist 13'!$B$24:$B$26</c:f>
              <c:numCache/>
            </c:numRef>
          </c:val>
        </c:ser>
        <c:axId val="1580281234"/>
        <c:axId val="2079588741"/>
      </c:barChart>
      <c:catAx>
        <c:axId val="1580281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79588741"/>
      </c:catAx>
      <c:valAx>
        <c:axId val="20795887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80281234"/>
      </c:valAx>
    </c:plotArea>
  </c:chart>
</c:chartSpace>
</file>

<file path=xl/charts/chart2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13'!$A$32:$A$34</c:f>
            </c:strRef>
          </c:cat>
          <c:val>
            <c:numRef>
              <c:f>'State Representative, Dist 13'!$B$32:$B$34</c:f>
              <c:numCache/>
            </c:numRef>
          </c:val>
        </c:ser>
        <c:axId val="618200029"/>
        <c:axId val="984281164"/>
      </c:barChart>
      <c:catAx>
        <c:axId val="6182000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84281164"/>
      </c:catAx>
      <c:valAx>
        <c:axId val="9842811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18200029"/>
      </c:valAx>
    </c:plotArea>
  </c:chart>
</c:chartSpace>
</file>

<file path=xl/charts/chart2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13'!$A$40:$A$44</c:f>
            </c:strRef>
          </c:cat>
          <c:val>
            <c:numRef>
              <c:f>'State Representative, Dist 13'!$B$40:$B$44</c:f>
              <c:numCache/>
            </c:numRef>
          </c:val>
        </c:ser>
        <c:axId val="1403449175"/>
        <c:axId val="1589865423"/>
      </c:barChart>
      <c:catAx>
        <c:axId val="14034491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89865423"/>
      </c:catAx>
      <c:valAx>
        <c:axId val="1589865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03449175"/>
      </c:valAx>
    </c:plotArea>
  </c:chart>
</c:chartSpace>
</file>

<file path=xl/charts/chart2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13'!$P$11:$P$19</c:f>
            </c:strRef>
          </c:cat>
          <c:val>
            <c:numRef>
              <c:f>'State Representative, Dist 13'!$Q$11:$Q$19</c:f>
              <c:numCache/>
            </c:numRef>
          </c:val>
        </c:ser>
        <c:axId val="146388238"/>
        <c:axId val="951277111"/>
      </c:barChart>
      <c:catAx>
        <c:axId val="1463882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51277111"/>
      </c:catAx>
      <c:valAx>
        <c:axId val="9512771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388238"/>
      </c:valAx>
    </c:plotArea>
  </c:chart>
</c:chartSpace>
</file>

<file path=xl/charts/chart2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13'!$P$23:$P$42</c:f>
            </c:strRef>
          </c:cat>
          <c:val>
            <c:numRef>
              <c:f>'State Representative, Dist 13'!$Q$23:$Q$42</c:f>
              <c:numCache/>
            </c:numRef>
          </c:val>
        </c:ser>
        <c:axId val="398655156"/>
        <c:axId val="741068394"/>
      </c:barChart>
      <c:catAx>
        <c:axId val="3986551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41068394"/>
      </c:catAx>
      <c:valAx>
        <c:axId val="7410683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8655156"/>
      </c:valAx>
    </c:plotArea>
  </c:chart>
</c:chartSpace>
</file>

<file path=xl/charts/chart2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13'!$P$46:$P$50</c:f>
            </c:strRef>
          </c:cat>
          <c:val>
            <c:numRef>
              <c:f>'State Representative, Dist 13'!$Q$46:$Q$50</c:f>
              <c:numCache/>
            </c:numRef>
          </c:val>
        </c:ser>
        <c:axId val="1438157226"/>
        <c:axId val="985978198"/>
      </c:barChart>
      <c:catAx>
        <c:axId val="14381572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85978198"/>
      </c:catAx>
      <c:valAx>
        <c:axId val="9859781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38157226"/>
      </c:valAx>
    </c:plotArea>
  </c:chart>
</c:chartSpace>
</file>

<file path=xl/charts/chart2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14'!$A$5:$A$7</c:f>
            </c:strRef>
          </c:cat>
          <c:val>
            <c:numRef>
              <c:f>'State Representative, Dist 14'!$B$5:$B$7</c:f>
              <c:numCache/>
            </c:numRef>
          </c:val>
        </c:ser>
        <c:axId val="679287216"/>
        <c:axId val="872652097"/>
      </c:barChart>
      <c:catAx>
        <c:axId val="6792872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72652097"/>
      </c:catAx>
      <c:valAx>
        <c:axId val="872652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79287216"/>
      </c:valAx>
    </c:plotArea>
  </c:chart>
</c:chartSpace>
</file>

<file path=xl/charts/chart2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14'!$A$13:$A$16</c:f>
            </c:strRef>
          </c:cat>
          <c:val>
            <c:numRef>
              <c:f>'State Representative, Dist 14'!$B$13:$B$16</c:f>
              <c:numCache/>
            </c:numRef>
          </c:val>
        </c:ser>
        <c:axId val="1114956647"/>
        <c:axId val="477556332"/>
      </c:barChart>
      <c:catAx>
        <c:axId val="11149566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477556332"/>
      </c:catAx>
      <c:valAx>
        <c:axId val="4775563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14956647"/>
      </c:valAx>
    </c:plotArea>
  </c:chart>
</c:chartSpace>
</file>

<file path=xl/charts/chart2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(A)</a:t>
            </a:r>
          </a:p>
        </c:rich>
      </c:tx>
      <c:overlay val="0"/>
    </c:title>
    <c:plotArea>
      <c:layout/>
      <c:barChart>
        <c:barDir val="col"/>
        <c:ser>
          <c:idx val="0"/>
          <c:order val="0"/>
          <c:spPr>
            <a:solidFill>
              <a:schemeClr val="accent1"/>
            </a:solidFill>
            <a:ln cmpd="sng">
              <a:solidFill>
                <a:srgbClr val="000000"/>
              </a:solidFill>
            </a:ln>
          </c:spPr>
          <c:cat>
            <c:strRef>
              <c:f>'State Representative, Dist 14'!$A$24:$A$26</c:f>
            </c:strRef>
          </c:cat>
          <c:val>
            <c:numRef>
              <c:f>'State Representative, Dist 14'!$B$24:$B$26</c:f>
              <c:numCache/>
            </c:numRef>
          </c:val>
        </c:ser>
        <c:axId val="1674272115"/>
        <c:axId val="765177294"/>
      </c:barChart>
      <c:catAx>
        <c:axId val="16742721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65177294"/>
      </c:catAx>
      <c:valAx>
        <c:axId val="7651772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674272115"/>
      </c:valAx>
    </c:plotArea>
  </c:chart>
</c:chartSpace>
</file>

<file path=xl/charts/chart2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14'!$A$32:$A$34</c:f>
            </c:strRef>
          </c:cat>
          <c:val>
            <c:numRef>
              <c:f>'State Representative, Dist 14'!$B$32:$B$34</c:f>
              <c:numCache/>
            </c:numRef>
          </c:val>
        </c:ser>
        <c:axId val="951212028"/>
        <c:axId val="1265566873"/>
      </c:barChart>
      <c:catAx>
        <c:axId val="9512120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65566873"/>
      </c:catAx>
      <c:valAx>
        <c:axId val="12655668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51212028"/>
      </c:valAx>
    </c:plotArea>
  </c:chart>
</c:chartSpace>
</file>

<file path=xl/charts/chart2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14'!$A$40:$A$43</c:f>
            </c:strRef>
          </c:cat>
          <c:val>
            <c:numRef>
              <c:f>'State Representative, Dist 14'!$B$40:$B$43</c:f>
              <c:numCache/>
            </c:numRef>
          </c:val>
        </c:ser>
        <c:axId val="1907201196"/>
        <c:axId val="1956810329"/>
      </c:barChart>
      <c:catAx>
        <c:axId val="19072011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956810329"/>
      </c:catAx>
      <c:valAx>
        <c:axId val="19568103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07201196"/>
      </c:valAx>
    </c:plotArea>
  </c:chart>
</c:chartSpace>
</file>

<file path=xl/charts/chart2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14'!$P$11:$P$19</c:f>
            </c:strRef>
          </c:cat>
          <c:val>
            <c:numRef>
              <c:f>'State Representative, Dist 14'!$Q$11:$Q$19</c:f>
              <c:numCache/>
            </c:numRef>
          </c:val>
        </c:ser>
        <c:axId val="1868845933"/>
        <c:axId val="67095764"/>
      </c:barChart>
      <c:catAx>
        <c:axId val="18688459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7095764"/>
      </c:catAx>
      <c:valAx>
        <c:axId val="670957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8845933"/>
      </c:valAx>
    </c:plotArea>
  </c:chart>
</c:chartSpace>
</file>

<file path=xl/charts/chart2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14'!$P$23:$P$42</c:f>
            </c:strRef>
          </c:cat>
          <c:val>
            <c:numRef>
              <c:f>'State Representative, Dist 14'!$Q$23:$Q$42</c:f>
              <c:numCache/>
            </c:numRef>
          </c:val>
        </c:ser>
        <c:axId val="117993792"/>
        <c:axId val="1647215208"/>
      </c:barChart>
      <c:catAx>
        <c:axId val="1179937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47215208"/>
      </c:catAx>
      <c:valAx>
        <c:axId val="16472152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993792"/>
      </c:valAx>
    </c:plotArea>
  </c:chart>
</c:chartSpace>
</file>

<file path=xl/charts/chart2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14'!$P$46:$P$50</c:f>
            </c:strRef>
          </c:cat>
          <c:val>
            <c:numRef>
              <c:f>'State Representative, Dist 14'!$Q$46:$Q$50</c:f>
              <c:numCache/>
            </c:numRef>
          </c:val>
        </c:ser>
        <c:axId val="1427294560"/>
        <c:axId val="982045328"/>
      </c:barChart>
      <c:catAx>
        <c:axId val="14272945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82045328"/>
      </c:catAx>
      <c:valAx>
        <c:axId val="9820453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7294560"/>
      </c:valAx>
    </c:plotArea>
  </c:chart>
</c:chartSpace>
</file>

<file path=xl/charts/chart2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15'!$A$5:$A$7</c:f>
            </c:strRef>
          </c:cat>
          <c:val>
            <c:numRef>
              <c:f>'State Representative, Dist 15'!$B$5:$B$7</c:f>
              <c:numCache/>
            </c:numRef>
          </c:val>
        </c:ser>
        <c:axId val="1979873212"/>
        <c:axId val="1481562783"/>
      </c:barChart>
      <c:catAx>
        <c:axId val="19798732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81562783"/>
      </c:catAx>
      <c:valAx>
        <c:axId val="14815627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79873212"/>
      </c:valAx>
    </c:plotArea>
  </c:chart>
</c:chartSpace>
</file>

<file path=xl/charts/chart2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15'!$A$13:$A$16</c:f>
            </c:strRef>
          </c:cat>
          <c:val>
            <c:numRef>
              <c:f>'State Representative, Dist 15'!$B$13:$B$16</c:f>
              <c:numCache/>
            </c:numRef>
          </c:val>
        </c:ser>
        <c:axId val="340026116"/>
        <c:axId val="75985499"/>
      </c:barChart>
      <c:catAx>
        <c:axId val="3400261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5985499"/>
      </c:catAx>
      <c:valAx>
        <c:axId val="759854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40026116"/>
      </c:valAx>
    </c:plotArea>
  </c:chart>
</c:chartSpace>
</file>

<file path=xl/charts/chart2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15'!$A$23:$A$25</c:f>
            </c:strRef>
          </c:cat>
          <c:val>
            <c:numRef>
              <c:f>'State Representative, Dist 15'!$B$23:$B$25</c:f>
              <c:numCache/>
            </c:numRef>
          </c:val>
        </c:ser>
        <c:axId val="479005034"/>
        <c:axId val="417766872"/>
      </c:barChart>
      <c:catAx>
        <c:axId val="4790050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417766872"/>
      </c:catAx>
      <c:valAx>
        <c:axId val="4177668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79005034"/>
      </c:valAx>
    </c:plotArea>
  </c:chart>
</c:chartSpace>
</file>

<file path=xl/charts/chart2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15'!$A$31:$A$33</c:f>
            </c:strRef>
          </c:cat>
          <c:val>
            <c:numRef>
              <c:f>'State Representative, Dist 15'!$B$31:$B$33</c:f>
              <c:numCache/>
            </c:numRef>
          </c:val>
        </c:ser>
        <c:axId val="483397608"/>
        <c:axId val="1736545538"/>
      </c:barChart>
      <c:catAx>
        <c:axId val="4833976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36545538"/>
      </c:catAx>
      <c:valAx>
        <c:axId val="17365455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83397608"/>
      </c:valAx>
    </c:plotArea>
  </c:chart>
</c:chartSpace>
</file>

<file path=xl/charts/chart2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15'!$P$11:$P$19</c:f>
            </c:strRef>
          </c:cat>
          <c:val>
            <c:numRef>
              <c:f>'State Representative, Dist 15'!$Q$11:$Q$19</c:f>
              <c:numCache/>
            </c:numRef>
          </c:val>
        </c:ser>
        <c:axId val="281935827"/>
        <c:axId val="907180664"/>
      </c:barChart>
      <c:catAx>
        <c:axId val="2819358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07180664"/>
      </c:catAx>
      <c:valAx>
        <c:axId val="9071806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1935827"/>
      </c:valAx>
    </c:plotArea>
  </c:chart>
</c:chartSpace>
</file>

<file path=xl/charts/chart2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15'!$P$23:$P$42</c:f>
            </c:strRef>
          </c:cat>
          <c:val>
            <c:numRef>
              <c:f>'State Representative, Dist 15'!$Q$23:$Q$42</c:f>
              <c:numCache/>
            </c:numRef>
          </c:val>
        </c:ser>
        <c:axId val="1233791178"/>
        <c:axId val="1534548716"/>
      </c:barChart>
      <c:catAx>
        <c:axId val="12337911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534548716"/>
      </c:catAx>
      <c:valAx>
        <c:axId val="15345487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3791178"/>
      </c:valAx>
    </c:plotArea>
  </c:chart>
</c:chartSpace>
</file>

<file path=xl/charts/chart2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15'!$P$46:$P$50</c:f>
            </c:strRef>
          </c:cat>
          <c:val>
            <c:numRef>
              <c:f>'State Representative, Dist 15'!$Q$46:$Q$50</c:f>
              <c:numCache/>
            </c:numRef>
          </c:val>
        </c:ser>
        <c:axId val="1884250678"/>
        <c:axId val="1708508785"/>
      </c:barChart>
      <c:catAx>
        <c:axId val="18842506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08508785"/>
      </c:catAx>
      <c:valAx>
        <c:axId val="17085087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4250678"/>
      </c:valAx>
    </c:plotArea>
  </c:chart>
</c:chartSpace>
</file>

<file path=xl/charts/chart2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16'!$A$5:$A$7</c:f>
            </c:strRef>
          </c:cat>
          <c:val>
            <c:numRef>
              <c:f>'State Representative, Dist 16'!$B$5:$B$7</c:f>
              <c:numCache/>
            </c:numRef>
          </c:val>
        </c:ser>
        <c:axId val="986382803"/>
        <c:axId val="740686298"/>
      </c:barChart>
      <c:catAx>
        <c:axId val="9863828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40686298"/>
      </c:catAx>
      <c:valAx>
        <c:axId val="7406862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86382803"/>
      </c:valAx>
    </c:plotArea>
  </c:chart>
</c:chartSpace>
</file>

<file path=xl/charts/chart2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16'!$A$13:$A$15</c:f>
            </c:strRef>
          </c:cat>
          <c:val>
            <c:numRef>
              <c:f>'State Representative, Dist 16'!$B$13:$B$15</c:f>
              <c:numCache/>
            </c:numRef>
          </c:val>
        </c:ser>
        <c:axId val="1533886834"/>
        <c:axId val="1905539237"/>
      </c:barChart>
      <c:catAx>
        <c:axId val="15338868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905539237"/>
      </c:catAx>
      <c:valAx>
        <c:axId val="19055392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33886834"/>
      </c:valAx>
    </c:plotArea>
  </c:chart>
</c:chartSpace>
</file>

<file path=xl/charts/chart2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16'!$A$23:$A$25</c:f>
            </c:strRef>
          </c:cat>
          <c:val>
            <c:numRef>
              <c:f>'State Representative, Dist 16'!$B$23:$B$25</c:f>
              <c:numCache/>
            </c:numRef>
          </c:val>
        </c:ser>
        <c:axId val="967711712"/>
        <c:axId val="1979505753"/>
      </c:barChart>
      <c:catAx>
        <c:axId val="9677117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979505753"/>
      </c:catAx>
      <c:valAx>
        <c:axId val="19795057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67711712"/>
      </c:valAx>
    </c:plotArea>
  </c:chart>
</c:chartSpace>
</file>

<file path=xl/charts/chart2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16'!$A$31:$A$33</c:f>
            </c:strRef>
          </c:cat>
          <c:val>
            <c:numRef>
              <c:f>'State Representative, Dist 16'!$B$31:$B$33</c:f>
              <c:numCache/>
            </c:numRef>
          </c:val>
        </c:ser>
        <c:axId val="168818538"/>
        <c:axId val="400183529"/>
      </c:barChart>
      <c:catAx>
        <c:axId val="1688185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400183529"/>
      </c:catAx>
      <c:valAx>
        <c:axId val="4001835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68818538"/>
      </c:valAx>
    </c:plotArea>
  </c:chart>
</c:chartSpace>
</file>

<file path=xl/charts/chart2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16'!$P$11:$P$19</c:f>
            </c:strRef>
          </c:cat>
          <c:val>
            <c:numRef>
              <c:f>'State Representative, Dist 16'!$Q$11:$Q$19</c:f>
              <c:numCache/>
            </c:numRef>
          </c:val>
        </c:ser>
        <c:axId val="1985366681"/>
        <c:axId val="463421056"/>
      </c:barChart>
      <c:catAx>
        <c:axId val="19853666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63421056"/>
      </c:catAx>
      <c:valAx>
        <c:axId val="4634210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5366681"/>
      </c:valAx>
    </c:plotArea>
  </c:chart>
</c:chartSpace>
</file>

<file path=xl/charts/chart2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16'!$P$23:$P$42</c:f>
            </c:strRef>
          </c:cat>
          <c:val>
            <c:numRef>
              <c:f>'State Representative, Dist 16'!$Q$23:$Q$42</c:f>
              <c:numCache/>
            </c:numRef>
          </c:val>
        </c:ser>
        <c:axId val="784303459"/>
        <c:axId val="1693472675"/>
      </c:barChart>
      <c:catAx>
        <c:axId val="7843034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93472675"/>
      </c:catAx>
      <c:valAx>
        <c:axId val="16934726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4303459"/>
      </c:valAx>
    </c:plotArea>
  </c:chart>
</c:chartSpace>
</file>

<file path=xl/charts/chart2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16'!$P$46:$P$50</c:f>
            </c:strRef>
          </c:cat>
          <c:val>
            <c:numRef>
              <c:f>'State Representative, Dist 16'!$Q$46:$Q$50</c:f>
              <c:numCache/>
            </c:numRef>
          </c:val>
        </c:ser>
        <c:axId val="130353633"/>
        <c:axId val="1091512184"/>
      </c:barChart>
      <c:catAx>
        <c:axId val="1303536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91512184"/>
      </c:catAx>
      <c:valAx>
        <c:axId val="10915121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353633"/>
      </c:valAx>
    </c:plotArea>
  </c:chart>
</c:chartSpace>
</file>

<file path=xl/charts/chart2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17'!$A$5:$A$7</c:f>
            </c:strRef>
          </c:cat>
          <c:val>
            <c:numRef>
              <c:f>'State Representative, Dist 17'!$B$5:$B$7</c:f>
              <c:numCache/>
            </c:numRef>
          </c:val>
        </c:ser>
        <c:axId val="833256782"/>
        <c:axId val="1052857712"/>
      </c:barChart>
      <c:catAx>
        <c:axId val="833256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52857712"/>
      </c:catAx>
      <c:valAx>
        <c:axId val="10528577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833256782"/>
      </c:valAx>
    </c:plotArea>
  </c:chart>
</c:chartSpace>
</file>

<file path=xl/charts/chart2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17'!$A$13:$A$15</c:f>
            </c:strRef>
          </c:cat>
          <c:val>
            <c:numRef>
              <c:f>'State Representative, Dist 17'!$B$13:$B$15</c:f>
              <c:numCache/>
            </c:numRef>
          </c:val>
        </c:ser>
        <c:axId val="1588975440"/>
        <c:axId val="328428914"/>
      </c:barChart>
      <c:catAx>
        <c:axId val="15889754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28428914"/>
      </c:catAx>
      <c:valAx>
        <c:axId val="328428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88975440"/>
      </c:valAx>
    </c:plotArea>
  </c:chart>
</c:chartSpace>
</file>

<file path=xl/charts/chart2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17'!$A$23:$A$25</c:f>
            </c:strRef>
          </c:cat>
          <c:val>
            <c:numRef>
              <c:f>'State Representative, Dist 17'!$B$23:$B$25</c:f>
              <c:numCache/>
            </c:numRef>
          </c:val>
        </c:ser>
        <c:axId val="1256466257"/>
        <c:axId val="1106675560"/>
      </c:barChart>
      <c:catAx>
        <c:axId val="12564662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06675560"/>
      </c:catAx>
      <c:valAx>
        <c:axId val="11066755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56466257"/>
      </c:valAx>
    </c:plotArea>
  </c:chart>
</c:chartSpace>
</file>

<file path=xl/charts/chart2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17'!$A$31:$A$33</c:f>
            </c:strRef>
          </c:cat>
          <c:val>
            <c:numRef>
              <c:f>'State Representative, Dist 17'!$B$31:$B$33</c:f>
              <c:numCache/>
            </c:numRef>
          </c:val>
        </c:ser>
        <c:axId val="1448821190"/>
        <c:axId val="1645170817"/>
      </c:barChart>
      <c:catAx>
        <c:axId val="14488211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45170817"/>
      </c:catAx>
      <c:valAx>
        <c:axId val="16451708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48821190"/>
      </c:valAx>
    </c:plotArea>
  </c:chart>
</c:chartSpace>
</file>

<file path=xl/charts/chart2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17'!$P$11:$P$19</c:f>
            </c:strRef>
          </c:cat>
          <c:val>
            <c:numRef>
              <c:f>'State Representative, Dist 17'!$Q$11:$Q$19</c:f>
              <c:numCache/>
            </c:numRef>
          </c:val>
        </c:ser>
        <c:axId val="410997067"/>
        <c:axId val="1490894581"/>
      </c:barChart>
      <c:catAx>
        <c:axId val="4109970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90894581"/>
      </c:catAx>
      <c:valAx>
        <c:axId val="14908945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0997067"/>
      </c:valAx>
    </c:plotArea>
  </c:chart>
</c:chartSpace>
</file>

<file path=xl/charts/chart2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17'!$P$23:$P$42</c:f>
            </c:strRef>
          </c:cat>
          <c:val>
            <c:numRef>
              <c:f>'State Representative, Dist 17'!$Q$23:$Q$42</c:f>
              <c:numCache/>
            </c:numRef>
          </c:val>
        </c:ser>
        <c:axId val="1658809051"/>
        <c:axId val="105773554"/>
      </c:barChart>
      <c:catAx>
        <c:axId val="16588090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5773554"/>
      </c:catAx>
      <c:valAx>
        <c:axId val="1057735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8809051"/>
      </c:valAx>
    </c:plotArea>
  </c:chart>
</c:chartSpace>
</file>

<file path=xl/charts/chart2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17'!$P$46:$P$50</c:f>
            </c:strRef>
          </c:cat>
          <c:val>
            <c:numRef>
              <c:f>'State Representative, Dist 17'!$Q$46:$Q$50</c:f>
              <c:numCache/>
            </c:numRef>
          </c:val>
        </c:ser>
        <c:axId val="617258152"/>
        <c:axId val="1294309040"/>
      </c:barChart>
      <c:catAx>
        <c:axId val="6172581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94309040"/>
      </c:catAx>
      <c:valAx>
        <c:axId val="12943090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7258152"/>
      </c:valAx>
    </c:plotArea>
  </c:chart>
</c:chartSpace>
</file>

<file path=xl/charts/chart2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19'!$A$5:$A$7</c:f>
            </c:strRef>
          </c:cat>
          <c:val>
            <c:numRef>
              <c:f>'State Representative, Dist 19'!$B$5:$B$7</c:f>
              <c:numCache/>
            </c:numRef>
          </c:val>
        </c:ser>
        <c:axId val="14199827"/>
        <c:axId val="1678559889"/>
      </c:barChart>
      <c:catAx>
        <c:axId val="141998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78559889"/>
      </c:catAx>
      <c:valAx>
        <c:axId val="16785598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199827"/>
      </c:valAx>
    </c:plotArea>
  </c:chart>
</c:chartSpace>
</file>

<file path=xl/charts/chart2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19'!$A$15:$A$17</c:f>
            </c:strRef>
          </c:cat>
          <c:val>
            <c:numRef>
              <c:f>'State Representative, Dist 19'!$B$15:$B$17</c:f>
              <c:numCache/>
            </c:numRef>
          </c:val>
        </c:ser>
        <c:axId val="1363454529"/>
        <c:axId val="1447926667"/>
      </c:barChart>
      <c:catAx>
        <c:axId val="13634545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47926667"/>
      </c:catAx>
      <c:valAx>
        <c:axId val="14479266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63454529"/>
      </c:valAx>
    </c:plotArea>
  </c:chart>
</c:chartSpace>
</file>

<file path=xl/charts/chart2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19'!$A$23:$A$26</c:f>
            </c:strRef>
          </c:cat>
          <c:val>
            <c:numRef>
              <c:f>'State Representative, Dist 19'!$B$23:$B$26</c:f>
              <c:numCache/>
            </c:numRef>
          </c:val>
        </c:ser>
        <c:axId val="770965514"/>
        <c:axId val="1660957374"/>
      </c:barChart>
      <c:catAx>
        <c:axId val="7709655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60957374"/>
      </c:catAx>
      <c:valAx>
        <c:axId val="16609573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70965514"/>
      </c:valAx>
    </c:plotArea>
  </c:chart>
</c:chartSpace>
</file>

<file path=xl/charts/chart2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19'!$P$11:$P$19</c:f>
            </c:strRef>
          </c:cat>
          <c:val>
            <c:numRef>
              <c:f>'State Representative, Dist 19'!$Q$11:$Q$19</c:f>
              <c:numCache/>
            </c:numRef>
          </c:val>
        </c:ser>
        <c:axId val="872212792"/>
        <c:axId val="1633662311"/>
      </c:barChart>
      <c:catAx>
        <c:axId val="8722127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33662311"/>
      </c:catAx>
      <c:valAx>
        <c:axId val="16336623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2212792"/>
      </c:valAx>
    </c:plotArea>
  </c:chart>
</c:chartSpace>
</file>

<file path=xl/charts/chart2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19'!$P$23:$P$42</c:f>
            </c:strRef>
          </c:cat>
          <c:val>
            <c:numRef>
              <c:f>'State Representative, Dist 19'!$Q$23:$Q$42</c:f>
              <c:numCache/>
            </c:numRef>
          </c:val>
        </c:ser>
        <c:axId val="911957583"/>
        <c:axId val="706299896"/>
      </c:barChart>
      <c:catAx>
        <c:axId val="9119575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06299896"/>
      </c:catAx>
      <c:valAx>
        <c:axId val="7062998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1957583"/>
      </c:valAx>
    </c:plotArea>
  </c:chart>
</c:chartSpace>
</file>

<file path=xl/charts/chart2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19'!$P$46:$P$50</c:f>
            </c:strRef>
          </c:cat>
          <c:val>
            <c:numRef>
              <c:f>'State Representative, Dist 19'!$Q$46:$Q$50</c:f>
              <c:numCache/>
            </c:numRef>
          </c:val>
        </c:ser>
        <c:axId val="1641636415"/>
        <c:axId val="770023297"/>
      </c:barChart>
      <c:catAx>
        <c:axId val="16416364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70023297"/>
      </c:catAx>
      <c:valAx>
        <c:axId val="7700232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1636415"/>
      </c:valAx>
    </c:plotArea>
  </c:chart>
</c:chartSpace>
</file>

<file path=xl/charts/chart2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20'!$A$5:$A$7</c:f>
            </c:strRef>
          </c:cat>
          <c:val>
            <c:numRef>
              <c:f>'State Representative, Dist 20'!$B$5:$B$7</c:f>
              <c:numCache/>
            </c:numRef>
          </c:val>
        </c:ser>
        <c:axId val="1852602506"/>
        <c:axId val="1809827163"/>
      </c:barChart>
      <c:catAx>
        <c:axId val="18526025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809827163"/>
      </c:catAx>
      <c:valAx>
        <c:axId val="18098271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52602506"/>
      </c:valAx>
    </c:plotArea>
  </c:chart>
</c:chartSpace>
</file>

<file path=xl/charts/chart2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20'!$A$13:$A$19</c:f>
            </c:strRef>
          </c:cat>
          <c:val>
            <c:numRef>
              <c:f>'State Representative, Dist 20'!$B$13:$B$19</c:f>
              <c:numCache/>
            </c:numRef>
          </c:val>
        </c:ser>
        <c:axId val="1466761448"/>
        <c:axId val="1544679679"/>
      </c:barChart>
      <c:catAx>
        <c:axId val="14667614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44679679"/>
      </c:catAx>
      <c:valAx>
        <c:axId val="15446796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66761448"/>
      </c:valAx>
    </c:plotArea>
  </c:chart>
</c:chartSpace>
</file>

<file path=xl/charts/chart2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20'!$A$27:$A$30</c:f>
            </c:strRef>
          </c:cat>
          <c:val>
            <c:numRef>
              <c:f>'State Representative, Dist 20'!$B$27:$B$30</c:f>
              <c:numCache/>
            </c:numRef>
          </c:val>
        </c:ser>
        <c:axId val="931915673"/>
        <c:axId val="920362034"/>
      </c:barChart>
      <c:catAx>
        <c:axId val="9319156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20362034"/>
      </c:catAx>
      <c:valAx>
        <c:axId val="9203620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31915673"/>
      </c:valAx>
    </c:plotArea>
  </c:chart>
</c:chartSpace>
</file>

<file path=xl/charts/chart2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20'!$A$36:$A$39</c:f>
            </c:strRef>
          </c:cat>
          <c:val>
            <c:numRef>
              <c:f>'State Representative, Dist 20'!$B$36:$B$39</c:f>
              <c:numCache/>
            </c:numRef>
          </c:val>
        </c:ser>
        <c:axId val="2049903812"/>
        <c:axId val="1180841322"/>
      </c:barChart>
      <c:catAx>
        <c:axId val="20499038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80841322"/>
      </c:catAx>
      <c:valAx>
        <c:axId val="11808413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049903812"/>
      </c:valAx>
    </c:plotArea>
  </c:chart>
</c:chartSpace>
</file>

<file path=xl/charts/chart2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20'!$P$11:$P$19</c:f>
            </c:strRef>
          </c:cat>
          <c:val>
            <c:numRef>
              <c:f>'State Representative, Dist 20'!$Q$11:$Q$19</c:f>
              <c:numCache/>
            </c:numRef>
          </c:val>
        </c:ser>
        <c:axId val="2093211806"/>
        <c:axId val="965733275"/>
      </c:barChart>
      <c:catAx>
        <c:axId val="20932118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65733275"/>
      </c:catAx>
      <c:valAx>
        <c:axId val="9657332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3211806"/>
      </c:valAx>
    </c:plotArea>
  </c:chart>
</c:chartSpace>
</file>

<file path=xl/charts/chart26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20'!$P$23:$P$42</c:f>
            </c:strRef>
          </c:cat>
          <c:val>
            <c:numRef>
              <c:f>'State Representative, Dist 20'!$Q$23:$Q$42</c:f>
              <c:numCache/>
            </c:numRef>
          </c:val>
        </c:ser>
        <c:axId val="64612091"/>
        <c:axId val="952396503"/>
      </c:barChart>
      <c:catAx>
        <c:axId val="64612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52396503"/>
      </c:catAx>
      <c:valAx>
        <c:axId val="9523965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612091"/>
      </c:valAx>
    </c:plotArea>
  </c:chart>
</c:chartSpace>
</file>

<file path=xl/charts/chart26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20'!$P$46:$P$50</c:f>
            </c:strRef>
          </c:cat>
          <c:val>
            <c:numRef>
              <c:f>'State Representative, Dist 20'!$Q$46:$Q$50</c:f>
              <c:numCache/>
            </c:numRef>
          </c:val>
        </c:ser>
        <c:axId val="459231829"/>
        <c:axId val="986348809"/>
      </c:barChart>
      <c:catAx>
        <c:axId val="4592318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86348809"/>
      </c:catAx>
      <c:valAx>
        <c:axId val="9863488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9231829"/>
      </c:valAx>
    </c:plotArea>
  </c:chart>
</c:chartSpace>
</file>

<file path=xl/charts/chart26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21'!$A$5:$A$7</c:f>
            </c:strRef>
          </c:cat>
          <c:val>
            <c:numRef>
              <c:f>'State Representative, Dist 21'!$B$5:$B$7</c:f>
              <c:numCache/>
            </c:numRef>
          </c:val>
        </c:ser>
        <c:axId val="974885808"/>
        <c:axId val="1497632278"/>
      </c:barChart>
      <c:catAx>
        <c:axId val="9748858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97632278"/>
      </c:catAx>
      <c:valAx>
        <c:axId val="14976322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74885808"/>
      </c:valAx>
    </c:plotArea>
  </c:chart>
</c:chartSpace>
</file>

<file path=xl/charts/chart26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21'!$A$13:$A$15</c:f>
            </c:strRef>
          </c:cat>
          <c:val>
            <c:numRef>
              <c:f>'State Representative, Dist 21'!$B$13:$B$15</c:f>
              <c:numCache/>
            </c:numRef>
          </c:val>
        </c:ser>
        <c:axId val="829048013"/>
        <c:axId val="281439431"/>
      </c:barChart>
      <c:catAx>
        <c:axId val="8290480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81439431"/>
      </c:catAx>
      <c:valAx>
        <c:axId val="281439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829048013"/>
      </c:valAx>
    </c:plotArea>
  </c:chart>
</c:chartSpace>
</file>

<file path=xl/charts/chart26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21'!$A$23:$A$26</c:f>
            </c:strRef>
          </c:cat>
          <c:val>
            <c:numRef>
              <c:f>'State Representative, Dist 21'!$B$23:$B$26</c:f>
              <c:numCache/>
            </c:numRef>
          </c:val>
        </c:ser>
        <c:axId val="297029267"/>
        <c:axId val="1467628507"/>
      </c:barChart>
      <c:catAx>
        <c:axId val="2970292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67628507"/>
      </c:catAx>
      <c:valAx>
        <c:axId val="14676285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97029267"/>
      </c:valAx>
    </c:plotArea>
  </c:chart>
</c:chartSpace>
</file>

<file path=xl/charts/chart26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21'!$A$32:$A$34</c:f>
            </c:strRef>
          </c:cat>
          <c:val>
            <c:numRef>
              <c:f>'State Representative, Dist 21'!$B$32:$B$34</c:f>
              <c:numCache/>
            </c:numRef>
          </c:val>
        </c:ser>
        <c:axId val="1993216170"/>
        <c:axId val="1393978760"/>
      </c:barChart>
      <c:catAx>
        <c:axId val="19932161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93978760"/>
      </c:catAx>
      <c:valAx>
        <c:axId val="13939787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93216170"/>
      </c:valAx>
    </c:plotArea>
  </c:chart>
</c:chartSpace>
</file>

<file path=xl/charts/chart26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21'!$P$11:$P$19</c:f>
            </c:strRef>
          </c:cat>
          <c:val>
            <c:numRef>
              <c:f>'State Representative, Dist 21'!$Q$11:$Q$19</c:f>
              <c:numCache/>
            </c:numRef>
          </c:val>
        </c:ser>
        <c:axId val="131136369"/>
        <c:axId val="2142392172"/>
      </c:barChart>
      <c:catAx>
        <c:axId val="1311363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142392172"/>
      </c:catAx>
      <c:valAx>
        <c:axId val="21423921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136369"/>
      </c:valAx>
    </c:plotArea>
  </c:chart>
</c:chartSpace>
</file>

<file path=xl/charts/chart26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21'!$P$23:$P$42</c:f>
            </c:strRef>
          </c:cat>
          <c:val>
            <c:numRef>
              <c:f>'State Representative, Dist 21'!$Q$23:$Q$42</c:f>
              <c:numCache/>
            </c:numRef>
          </c:val>
        </c:ser>
        <c:axId val="881252553"/>
        <c:axId val="824633961"/>
      </c:barChart>
      <c:catAx>
        <c:axId val="8812525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24633961"/>
      </c:catAx>
      <c:valAx>
        <c:axId val="824633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1252553"/>
      </c:valAx>
    </c:plotArea>
  </c:chart>
</c:chartSpace>
</file>

<file path=xl/charts/chart27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21'!$P$46:$P$50</c:f>
            </c:strRef>
          </c:cat>
          <c:val>
            <c:numRef>
              <c:f>'State Representative, Dist 21'!$Q$46:$Q$50</c:f>
              <c:numCache/>
            </c:numRef>
          </c:val>
        </c:ser>
        <c:axId val="1292386477"/>
        <c:axId val="1161420096"/>
      </c:barChart>
      <c:catAx>
        <c:axId val="1292386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61420096"/>
      </c:catAx>
      <c:valAx>
        <c:axId val="11614200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2386477"/>
      </c:valAx>
    </c:plotArea>
  </c:chart>
</c:chartSpace>
</file>

<file path=xl/charts/chart27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22'!$A$5:$A$7</c:f>
            </c:strRef>
          </c:cat>
          <c:val>
            <c:numRef>
              <c:f>'State Representative, Dist 22'!$B$5:$B$7</c:f>
              <c:numCache/>
            </c:numRef>
          </c:val>
        </c:ser>
        <c:axId val="1736273019"/>
        <c:axId val="1290438341"/>
      </c:barChart>
      <c:catAx>
        <c:axId val="17362730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90438341"/>
      </c:catAx>
      <c:valAx>
        <c:axId val="12904383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36273019"/>
      </c:valAx>
    </c:plotArea>
  </c:chart>
</c:chartSpace>
</file>

<file path=xl/charts/chart27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22'!$A$13:$A$15</c:f>
            </c:strRef>
          </c:cat>
          <c:val>
            <c:numRef>
              <c:f>'State Representative, Dist 22'!$B$13:$B$15</c:f>
              <c:numCache/>
            </c:numRef>
          </c:val>
        </c:ser>
        <c:axId val="394526921"/>
        <c:axId val="1587907131"/>
      </c:barChart>
      <c:catAx>
        <c:axId val="3945269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87907131"/>
      </c:catAx>
      <c:valAx>
        <c:axId val="15879071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94526921"/>
      </c:valAx>
    </c:plotArea>
  </c:chart>
</c:chartSpace>
</file>

<file path=xl/charts/chart27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22'!$A$23:$A$25</c:f>
            </c:strRef>
          </c:cat>
          <c:val>
            <c:numRef>
              <c:f>'State Representative, Dist 22'!$B$23:$B$25</c:f>
              <c:numCache/>
            </c:numRef>
          </c:val>
        </c:ser>
        <c:axId val="1356211427"/>
        <c:axId val="162684990"/>
      </c:barChart>
      <c:catAx>
        <c:axId val="13562114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2684990"/>
      </c:catAx>
      <c:valAx>
        <c:axId val="1626849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56211427"/>
      </c:valAx>
    </c:plotArea>
  </c:chart>
</c:chartSpace>
</file>

<file path=xl/charts/chart27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22'!$A$31:$A$34</c:f>
            </c:strRef>
          </c:cat>
          <c:val>
            <c:numRef>
              <c:f>'State Representative, Dist 22'!$B$31:$B$34</c:f>
              <c:numCache/>
            </c:numRef>
          </c:val>
        </c:ser>
        <c:axId val="1831137663"/>
        <c:axId val="302571468"/>
      </c:barChart>
      <c:catAx>
        <c:axId val="18311376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02571468"/>
      </c:catAx>
      <c:valAx>
        <c:axId val="3025714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31137663"/>
      </c:valAx>
    </c:plotArea>
  </c:chart>
</c:chartSpace>
</file>

<file path=xl/charts/chart27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22'!$P$11:$P$19</c:f>
            </c:strRef>
          </c:cat>
          <c:val>
            <c:numRef>
              <c:f>'State Representative, Dist 22'!$Q$11:$Q$19</c:f>
              <c:numCache/>
            </c:numRef>
          </c:val>
        </c:ser>
        <c:axId val="1537537914"/>
        <c:axId val="1347283351"/>
      </c:barChart>
      <c:catAx>
        <c:axId val="15375379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47283351"/>
      </c:catAx>
      <c:valAx>
        <c:axId val="13472833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7537914"/>
      </c:valAx>
    </c:plotArea>
  </c:chart>
</c:chartSpace>
</file>

<file path=xl/charts/chart27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22'!$P$23:$P$42</c:f>
            </c:strRef>
          </c:cat>
          <c:val>
            <c:numRef>
              <c:f>'State Representative, Dist 22'!$Q$23:$Q$42</c:f>
              <c:numCache/>
            </c:numRef>
          </c:val>
        </c:ser>
        <c:axId val="848047460"/>
        <c:axId val="1768161643"/>
      </c:barChart>
      <c:catAx>
        <c:axId val="8480474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68161643"/>
      </c:catAx>
      <c:valAx>
        <c:axId val="17681616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8047460"/>
      </c:valAx>
    </c:plotArea>
  </c:chart>
</c:chartSpace>
</file>

<file path=xl/charts/chart27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22'!$P$46:$P$50</c:f>
            </c:strRef>
          </c:cat>
          <c:val>
            <c:numRef>
              <c:f>'State Representative, Dist 22'!$Q$46:$Q$50</c:f>
              <c:numCache/>
            </c:numRef>
          </c:val>
        </c:ser>
        <c:axId val="538364763"/>
        <c:axId val="1636284501"/>
      </c:barChart>
      <c:catAx>
        <c:axId val="5383647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36284501"/>
      </c:catAx>
      <c:valAx>
        <c:axId val="16362845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8364763"/>
      </c:valAx>
    </c:plotArea>
  </c:chart>
</c:chartSpace>
</file>

<file path=xl/charts/chart27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23'!$A$5:$A$10</c:f>
            </c:strRef>
          </c:cat>
          <c:val>
            <c:numRef>
              <c:f>'State Representative, Dist 23'!$B$5:$B$10</c:f>
              <c:numCache/>
            </c:numRef>
          </c:val>
        </c:ser>
        <c:axId val="723464960"/>
        <c:axId val="185608235"/>
      </c:barChart>
      <c:catAx>
        <c:axId val="7234649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85608235"/>
      </c:catAx>
      <c:valAx>
        <c:axId val="1856082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23464960"/>
      </c:valAx>
    </c:plotArea>
  </c:chart>
</c:chartSpace>
</file>

<file path=xl/charts/chart27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23'!$A$18:$A$20</c:f>
            </c:strRef>
          </c:cat>
          <c:val>
            <c:numRef>
              <c:f>'State Representative, Dist 23'!$B$18:$B$20</c:f>
              <c:numCache/>
            </c:numRef>
          </c:val>
        </c:ser>
        <c:axId val="567280892"/>
        <c:axId val="927014958"/>
      </c:barChart>
      <c:catAx>
        <c:axId val="5672808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27014958"/>
      </c:catAx>
      <c:valAx>
        <c:axId val="9270149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67280892"/>
      </c:valAx>
    </c:plotArea>
  </c:chart>
</c:chartSpace>
</file>

<file path=xl/charts/chart28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23'!$P$11:$P$19</c:f>
            </c:strRef>
          </c:cat>
          <c:val>
            <c:numRef>
              <c:f>'State Representative, Dist 23'!$Q$11:$Q$19</c:f>
              <c:numCache/>
            </c:numRef>
          </c:val>
        </c:ser>
        <c:axId val="774331589"/>
        <c:axId val="2098558839"/>
      </c:barChart>
      <c:catAx>
        <c:axId val="7743315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098558839"/>
      </c:catAx>
      <c:valAx>
        <c:axId val="20985588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4331589"/>
      </c:valAx>
    </c:plotArea>
  </c:chart>
</c:chartSpace>
</file>

<file path=xl/charts/chart28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23'!$P$23:$P$42</c:f>
            </c:strRef>
          </c:cat>
          <c:val>
            <c:numRef>
              <c:f>'State Representative, Dist 23'!$Q$23:$Q$42</c:f>
              <c:numCache/>
            </c:numRef>
          </c:val>
        </c:ser>
        <c:axId val="1491330883"/>
        <c:axId val="330609604"/>
      </c:barChart>
      <c:catAx>
        <c:axId val="14913308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30609604"/>
      </c:catAx>
      <c:valAx>
        <c:axId val="3306096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1330883"/>
      </c:valAx>
    </c:plotArea>
  </c:chart>
</c:chartSpace>
</file>

<file path=xl/charts/chart28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23'!$P$46:$P$50</c:f>
            </c:strRef>
          </c:cat>
          <c:val>
            <c:numRef>
              <c:f>'State Representative, Dist 23'!$Q$46:$Q$50</c:f>
              <c:numCache/>
            </c:numRef>
          </c:val>
        </c:ser>
        <c:axId val="1379776411"/>
        <c:axId val="1716573872"/>
      </c:barChart>
      <c:catAx>
        <c:axId val="13797764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16573872"/>
      </c:catAx>
      <c:valAx>
        <c:axId val="17165738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9776411"/>
      </c:valAx>
    </c:plotArea>
  </c:chart>
</c:chartSpace>
</file>

<file path=xl/charts/chart28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24'!$A$5:$A$7</c:f>
            </c:strRef>
          </c:cat>
          <c:val>
            <c:numRef>
              <c:f>'State Representative, Dist 24'!$B$5:$B$7</c:f>
              <c:numCache/>
            </c:numRef>
          </c:val>
        </c:ser>
        <c:axId val="1847257159"/>
        <c:axId val="385987856"/>
      </c:barChart>
      <c:catAx>
        <c:axId val="18472571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85987856"/>
      </c:catAx>
      <c:valAx>
        <c:axId val="3859878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47257159"/>
      </c:valAx>
    </c:plotArea>
  </c:chart>
</c:chartSpace>
</file>

<file path=xl/charts/chart28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24'!$A$13:$A$15</c:f>
            </c:strRef>
          </c:cat>
          <c:val>
            <c:numRef>
              <c:f>'State Representative, Dist 24'!$B$13:$B$15</c:f>
              <c:numCache/>
            </c:numRef>
          </c:val>
        </c:ser>
        <c:axId val="635330287"/>
        <c:axId val="999847155"/>
      </c:barChart>
      <c:catAx>
        <c:axId val="6353302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99847155"/>
      </c:catAx>
      <c:valAx>
        <c:axId val="999847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35330287"/>
      </c:valAx>
    </c:plotArea>
  </c:chart>
</c:chartSpace>
</file>

<file path=xl/charts/chart28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24'!$A$23:$A$25</c:f>
            </c:strRef>
          </c:cat>
          <c:val>
            <c:numRef>
              <c:f>'State Representative, Dist 24'!$B$23:$B$25</c:f>
              <c:numCache/>
            </c:numRef>
          </c:val>
        </c:ser>
        <c:axId val="11440730"/>
        <c:axId val="899293866"/>
      </c:barChart>
      <c:catAx>
        <c:axId val="114407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99293866"/>
      </c:catAx>
      <c:valAx>
        <c:axId val="8992938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440730"/>
      </c:valAx>
    </c:plotArea>
  </c:chart>
</c:chartSpace>
</file>

<file path=xl/charts/chart28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24'!$A$31:$A$34</c:f>
            </c:strRef>
          </c:cat>
          <c:val>
            <c:numRef>
              <c:f>'State Representative, Dist 24'!$B$31:$B$34</c:f>
              <c:numCache/>
            </c:numRef>
          </c:val>
        </c:ser>
        <c:axId val="1035675321"/>
        <c:axId val="859567222"/>
      </c:barChart>
      <c:catAx>
        <c:axId val="10356753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59567222"/>
      </c:catAx>
      <c:valAx>
        <c:axId val="8595672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035675321"/>
      </c:valAx>
    </c:plotArea>
  </c:chart>
</c:chartSpace>
</file>

<file path=xl/charts/chart28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24'!$P$11:$P$19</c:f>
            </c:strRef>
          </c:cat>
          <c:val>
            <c:numRef>
              <c:f>'State Representative, Dist 24'!$Q$11:$Q$19</c:f>
              <c:numCache/>
            </c:numRef>
          </c:val>
        </c:ser>
        <c:axId val="1475557340"/>
        <c:axId val="1165502544"/>
      </c:barChart>
      <c:catAx>
        <c:axId val="14755573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65502544"/>
      </c:catAx>
      <c:valAx>
        <c:axId val="11655025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5557340"/>
      </c:valAx>
    </c:plotArea>
  </c:chart>
</c:chartSpace>
</file>

<file path=xl/charts/chart28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24'!$P$23:$P$42</c:f>
            </c:strRef>
          </c:cat>
          <c:val>
            <c:numRef>
              <c:f>'State Representative, Dist 24'!$Q$23:$Q$42</c:f>
              <c:numCache/>
            </c:numRef>
          </c:val>
        </c:ser>
        <c:axId val="88690490"/>
        <c:axId val="1375706454"/>
      </c:barChart>
      <c:catAx>
        <c:axId val="886904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75706454"/>
      </c:catAx>
      <c:valAx>
        <c:axId val="1375706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690490"/>
      </c:valAx>
    </c:plotArea>
  </c:chart>
</c:chartSpace>
</file>

<file path=xl/charts/chart28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24'!$P$46:$P$50</c:f>
            </c:strRef>
          </c:cat>
          <c:val>
            <c:numRef>
              <c:f>'State Representative, Dist 24'!$Q$46:$Q$50</c:f>
              <c:numCache/>
            </c:numRef>
          </c:val>
        </c:ser>
        <c:axId val="549398813"/>
        <c:axId val="1520361629"/>
      </c:barChart>
      <c:catAx>
        <c:axId val="5493988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520361629"/>
      </c:catAx>
      <c:valAx>
        <c:axId val="15203616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9398813"/>
      </c:valAx>
    </c:plotArea>
  </c:chart>
</c:chartSpace>
</file>

<file path=xl/charts/chart29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25'!$A$5:$A$8</c:f>
            </c:strRef>
          </c:cat>
          <c:val>
            <c:numRef>
              <c:f>'State Representative, Dist 25'!$B$5:$B$8</c:f>
              <c:numCache/>
            </c:numRef>
          </c:val>
        </c:ser>
        <c:axId val="1159036570"/>
        <c:axId val="119060229"/>
      </c:barChart>
      <c:catAx>
        <c:axId val="11590365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9060229"/>
      </c:catAx>
      <c:valAx>
        <c:axId val="1190602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59036570"/>
      </c:valAx>
    </c:plotArea>
  </c:chart>
</c:chartSpace>
</file>

<file path=xl/charts/chart29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25'!$A$16:$A$18</c:f>
            </c:strRef>
          </c:cat>
          <c:val>
            <c:numRef>
              <c:f>'State Representative, Dist 25'!$B$16:$B$18</c:f>
              <c:numCache/>
            </c:numRef>
          </c:val>
        </c:ser>
        <c:axId val="919819451"/>
        <c:axId val="2086150000"/>
      </c:barChart>
      <c:catAx>
        <c:axId val="9198194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86150000"/>
      </c:catAx>
      <c:valAx>
        <c:axId val="20861500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19819451"/>
      </c:valAx>
    </c:plotArea>
  </c:chart>
</c:chartSpace>
</file>

<file path=xl/charts/chart29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25'!$A$24:$A$27</c:f>
            </c:strRef>
          </c:cat>
          <c:val>
            <c:numRef>
              <c:f>'State Representative, Dist 25'!$B$24:$B$27</c:f>
              <c:numCache/>
            </c:numRef>
          </c:val>
        </c:ser>
        <c:axId val="1557900522"/>
        <c:axId val="684707126"/>
      </c:barChart>
      <c:catAx>
        <c:axId val="15579005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84707126"/>
      </c:catAx>
      <c:valAx>
        <c:axId val="6847071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57900522"/>
      </c:valAx>
    </c:plotArea>
  </c:chart>
</c:chartSpace>
</file>

<file path=xl/charts/chart29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25'!$P$11:$P$19</c:f>
            </c:strRef>
          </c:cat>
          <c:val>
            <c:numRef>
              <c:f>'State Representative, Dist 25'!$Q$11:$Q$19</c:f>
              <c:numCache/>
            </c:numRef>
          </c:val>
        </c:ser>
        <c:axId val="1990802190"/>
        <c:axId val="1906450075"/>
      </c:barChart>
      <c:catAx>
        <c:axId val="19908021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906450075"/>
      </c:catAx>
      <c:valAx>
        <c:axId val="1906450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0802190"/>
      </c:valAx>
    </c:plotArea>
  </c:chart>
</c:chartSpace>
</file>

<file path=xl/charts/chart29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25'!$P$23:$P$42</c:f>
            </c:strRef>
          </c:cat>
          <c:val>
            <c:numRef>
              <c:f>'State Representative, Dist 25'!$Q$23:$Q$42</c:f>
              <c:numCache/>
            </c:numRef>
          </c:val>
        </c:ser>
        <c:axId val="2032754898"/>
        <c:axId val="658201440"/>
      </c:barChart>
      <c:catAx>
        <c:axId val="20327548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58201440"/>
      </c:catAx>
      <c:valAx>
        <c:axId val="6582014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2754898"/>
      </c:valAx>
    </c:plotArea>
  </c:chart>
</c:chartSpace>
</file>

<file path=xl/charts/chart29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25'!$P$46:$P$50</c:f>
            </c:strRef>
          </c:cat>
          <c:val>
            <c:numRef>
              <c:f>'State Representative, Dist 25'!$Q$46:$Q$50</c:f>
              <c:numCache/>
            </c:numRef>
          </c:val>
        </c:ser>
        <c:axId val="768402925"/>
        <c:axId val="670933555"/>
      </c:barChart>
      <c:catAx>
        <c:axId val="7684029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70933555"/>
      </c:catAx>
      <c:valAx>
        <c:axId val="6709335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8402925"/>
      </c:valAx>
    </c:plotArea>
  </c:chart>
</c:chartSpace>
</file>

<file path=xl/charts/chart29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26'!$A$5:$A$7</c:f>
            </c:strRef>
          </c:cat>
          <c:val>
            <c:numRef>
              <c:f>'State Representative, Dist 26'!$B$5:$B$7</c:f>
              <c:numCache/>
            </c:numRef>
          </c:val>
        </c:ser>
        <c:axId val="1512006881"/>
        <c:axId val="1523439782"/>
      </c:barChart>
      <c:catAx>
        <c:axId val="15120068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23439782"/>
      </c:catAx>
      <c:valAx>
        <c:axId val="1523439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12006881"/>
      </c:valAx>
    </c:plotArea>
  </c:chart>
</c:chartSpace>
</file>

<file path=xl/charts/chart29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26'!$A$15:$A$17</c:f>
            </c:strRef>
          </c:cat>
          <c:val>
            <c:numRef>
              <c:f>'State Representative, Dist 26'!$B$15:$B$17</c:f>
              <c:numCache/>
            </c:numRef>
          </c:val>
        </c:ser>
        <c:axId val="480974137"/>
        <c:axId val="955252519"/>
      </c:barChart>
      <c:catAx>
        <c:axId val="4809741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55252519"/>
      </c:catAx>
      <c:valAx>
        <c:axId val="9552525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80974137"/>
      </c:valAx>
    </c:plotArea>
  </c:chart>
</c:chartSpace>
</file>

<file path=xl/charts/chart29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26'!$A$23:$A$27</c:f>
            </c:strRef>
          </c:cat>
          <c:val>
            <c:numRef>
              <c:f>'State Representative, Dist 26'!$B$23:$B$27</c:f>
              <c:numCache/>
            </c:numRef>
          </c:val>
        </c:ser>
        <c:axId val="1940673588"/>
        <c:axId val="1057598637"/>
      </c:barChart>
      <c:catAx>
        <c:axId val="19406735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57598637"/>
      </c:catAx>
      <c:valAx>
        <c:axId val="10575986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40673588"/>
      </c:valAx>
    </c:plotArea>
  </c:chart>
</c:chartSpace>
</file>

<file path=xl/charts/chart29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26'!$P$11:$P$19</c:f>
            </c:strRef>
          </c:cat>
          <c:val>
            <c:numRef>
              <c:f>'State Representative, Dist 26'!$Q$11:$Q$19</c:f>
              <c:numCache/>
            </c:numRef>
          </c:val>
        </c:ser>
        <c:axId val="776502094"/>
        <c:axId val="414569840"/>
      </c:barChart>
      <c:catAx>
        <c:axId val="7765020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14569840"/>
      </c:catAx>
      <c:valAx>
        <c:axId val="4145698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6502094"/>
      </c:valAx>
    </c:plotArea>
  </c:chart>
</c:chartSpace>
</file>

<file path=xl/charts/chart30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26'!$P$23:$P$42</c:f>
            </c:strRef>
          </c:cat>
          <c:val>
            <c:numRef>
              <c:f>'State Representative, Dist 26'!$Q$23:$Q$42</c:f>
              <c:numCache/>
            </c:numRef>
          </c:val>
        </c:ser>
        <c:axId val="1747347215"/>
        <c:axId val="275634977"/>
      </c:barChart>
      <c:catAx>
        <c:axId val="17473472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75634977"/>
      </c:catAx>
      <c:valAx>
        <c:axId val="2756349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7347215"/>
      </c:valAx>
    </c:plotArea>
  </c:chart>
</c:chartSpace>
</file>

<file path=xl/charts/chart30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26'!$P$46:$P$50</c:f>
            </c:strRef>
          </c:cat>
          <c:val>
            <c:numRef>
              <c:f>'State Representative, Dist 26'!$Q$46:$Q$50</c:f>
              <c:numCache/>
            </c:numRef>
          </c:val>
        </c:ser>
        <c:axId val="871631254"/>
        <c:axId val="1035527636"/>
      </c:barChart>
      <c:catAx>
        <c:axId val="8716312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35527636"/>
      </c:catAx>
      <c:valAx>
        <c:axId val="10355276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1631254"/>
      </c:valAx>
    </c:plotArea>
  </c:chart>
</c:chartSpace>
</file>

<file path=xl/charts/chart30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27'!$A$5:$A$8</c:f>
            </c:strRef>
          </c:cat>
          <c:val>
            <c:numRef>
              <c:f>'State Representative, Dist 27'!$B$5:$B$8</c:f>
              <c:numCache/>
            </c:numRef>
          </c:val>
        </c:ser>
        <c:axId val="1916454174"/>
        <c:axId val="1241678014"/>
      </c:barChart>
      <c:catAx>
        <c:axId val="19164541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41678014"/>
      </c:catAx>
      <c:valAx>
        <c:axId val="12416780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16454174"/>
      </c:valAx>
    </c:plotArea>
  </c:chart>
</c:chartSpace>
</file>

<file path=xl/charts/chart30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27'!$A$14:$A$18</c:f>
            </c:strRef>
          </c:cat>
          <c:val>
            <c:numRef>
              <c:f>'State Representative, Dist 27'!$B$14:$B$18</c:f>
              <c:numCache/>
            </c:numRef>
          </c:val>
        </c:ser>
        <c:axId val="481932043"/>
        <c:axId val="52054824"/>
      </c:barChart>
      <c:catAx>
        <c:axId val="4819320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2054824"/>
      </c:catAx>
      <c:valAx>
        <c:axId val="52054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81932043"/>
      </c:valAx>
    </c:plotArea>
  </c:chart>
</c:chartSpace>
</file>

<file path=xl/charts/chart30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27'!$A$24:$A$26</c:f>
            </c:strRef>
          </c:cat>
          <c:val>
            <c:numRef>
              <c:f>'State Representative, Dist 27'!$B$24:$B$26</c:f>
              <c:numCache/>
            </c:numRef>
          </c:val>
        </c:ser>
        <c:axId val="1888227330"/>
        <c:axId val="572545776"/>
      </c:barChart>
      <c:catAx>
        <c:axId val="18882273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72545776"/>
      </c:catAx>
      <c:valAx>
        <c:axId val="5725457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88227330"/>
      </c:valAx>
    </c:plotArea>
  </c:chart>
</c:chartSpace>
</file>

<file path=xl/charts/chart30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27'!$A$32:$A$35</c:f>
            </c:strRef>
          </c:cat>
          <c:val>
            <c:numRef>
              <c:f>'State Representative, Dist 27'!$B$32:$B$35</c:f>
              <c:numCache/>
            </c:numRef>
          </c:val>
        </c:ser>
        <c:axId val="218094176"/>
        <c:axId val="1331712788"/>
      </c:barChart>
      <c:catAx>
        <c:axId val="2180941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31712788"/>
      </c:catAx>
      <c:valAx>
        <c:axId val="13317127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18094176"/>
      </c:valAx>
    </c:plotArea>
  </c:chart>
</c:chartSpace>
</file>

<file path=xl/charts/chart30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27'!$P$11:$P$19</c:f>
            </c:strRef>
          </c:cat>
          <c:val>
            <c:numRef>
              <c:f>'State Representative, Dist 27'!$Q$11:$Q$19</c:f>
              <c:numCache/>
            </c:numRef>
          </c:val>
        </c:ser>
        <c:axId val="596974305"/>
        <c:axId val="584171302"/>
      </c:barChart>
      <c:catAx>
        <c:axId val="5969743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84171302"/>
      </c:catAx>
      <c:valAx>
        <c:axId val="5841713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6974305"/>
      </c:valAx>
    </c:plotArea>
  </c:chart>
</c:chartSpace>
</file>

<file path=xl/charts/chart30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27'!$P$23:$P$42</c:f>
            </c:strRef>
          </c:cat>
          <c:val>
            <c:numRef>
              <c:f>'State Representative, Dist 27'!$Q$23:$Q$42</c:f>
              <c:numCache/>
            </c:numRef>
          </c:val>
        </c:ser>
        <c:axId val="60345152"/>
        <c:axId val="1390661508"/>
      </c:barChart>
      <c:catAx>
        <c:axId val="603451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90661508"/>
      </c:catAx>
      <c:valAx>
        <c:axId val="13906615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345152"/>
      </c:valAx>
    </c:plotArea>
  </c:chart>
</c:chartSpace>
</file>

<file path=xl/charts/chart30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27'!$P$46:$P$50</c:f>
            </c:strRef>
          </c:cat>
          <c:val>
            <c:numRef>
              <c:f>'State Representative, Dist 27'!$Q$46:$Q$50</c:f>
              <c:numCache/>
            </c:numRef>
          </c:val>
        </c:ser>
        <c:axId val="719644395"/>
        <c:axId val="846527878"/>
      </c:barChart>
      <c:catAx>
        <c:axId val="7196443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46527878"/>
      </c:catAx>
      <c:valAx>
        <c:axId val="8465278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9644395"/>
      </c:valAx>
    </c:plotArea>
  </c:chart>
</c:chartSpace>
</file>

<file path=xl/charts/chart30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28'!$A$5:$A$8</c:f>
            </c:strRef>
          </c:cat>
          <c:val>
            <c:numRef>
              <c:f>'State Representative, Dist 28'!$B$5:$B$8</c:f>
              <c:numCache/>
            </c:numRef>
          </c:val>
        </c:ser>
        <c:axId val="258782711"/>
        <c:axId val="370661519"/>
      </c:barChart>
      <c:catAx>
        <c:axId val="2587827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70661519"/>
      </c:catAx>
      <c:valAx>
        <c:axId val="3706615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58782711"/>
      </c:valAx>
    </c:plotArea>
  </c:chart>
</c:chartSpace>
</file>

<file path=xl/charts/chart3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(A)</a:t>
            </a:r>
          </a:p>
        </c:rich>
      </c:tx>
      <c:overlay val="0"/>
    </c:title>
    <c:plotArea>
      <c:layout/>
      <c:barChart>
        <c:barDir val="col"/>
        <c:ser>
          <c:idx val="0"/>
          <c:order val="0"/>
          <c:spPr>
            <a:solidFill>
              <a:schemeClr val="accent1"/>
            </a:solidFill>
            <a:ln cmpd="sng">
              <a:solidFill>
                <a:srgbClr val="000000"/>
              </a:solidFill>
            </a:ln>
          </c:spPr>
          <c:cat>
            <c:strRef>
              <c:f>'State Representative, Dist 28'!$A$16:$A$18</c:f>
            </c:strRef>
          </c:cat>
          <c:val>
            <c:numRef>
              <c:f>'State Representative, Dist 28'!$B$16:$B$18</c:f>
              <c:numCache/>
            </c:numRef>
          </c:val>
        </c:ser>
        <c:axId val="1389042888"/>
        <c:axId val="867717420"/>
      </c:barChart>
      <c:catAx>
        <c:axId val="13890428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67717420"/>
      </c:catAx>
      <c:valAx>
        <c:axId val="8677174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89042888"/>
      </c:valAx>
    </c:plotArea>
  </c:chart>
</c:chartSpace>
</file>

<file path=xl/charts/chart3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28'!$A$24:$A$28</c:f>
            </c:strRef>
          </c:cat>
          <c:val>
            <c:numRef>
              <c:f>'State Representative, Dist 28'!$B$24:$B$28</c:f>
              <c:numCache/>
            </c:numRef>
          </c:val>
        </c:ser>
        <c:axId val="404541764"/>
        <c:axId val="238245041"/>
      </c:barChart>
      <c:catAx>
        <c:axId val="4045417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38245041"/>
      </c:catAx>
      <c:valAx>
        <c:axId val="238245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04541764"/>
      </c:valAx>
    </c:plotArea>
  </c:chart>
</c:chartSpace>
</file>

<file path=xl/charts/chart3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28'!$P$11:$P$19</c:f>
            </c:strRef>
          </c:cat>
          <c:val>
            <c:numRef>
              <c:f>'State Representative, Dist 28'!$Q$11:$Q$19</c:f>
              <c:numCache/>
            </c:numRef>
          </c:val>
        </c:ser>
        <c:axId val="1202714914"/>
        <c:axId val="1600058878"/>
      </c:barChart>
      <c:catAx>
        <c:axId val="12027149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00058878"/>
      </c:catAx>
      <c:valAx>
        <c:axId val="16000588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2714914"/>
      </c:valAx>
    </c:plotArea>
  </c:chart>
</c:chartSpace>
</file>

<file path=xl/charts/chart3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28'!$P$23:$P$42</c:f>
            </c:strRef>
          </c:cat>
          <c:val>
            <c:numRef>
              <c:f>'State Representative, Dist 28'!$Q$23:$Q$42</c:f>
              <c:numCache/>
            </c:numRef>
          </c:val>
        </c:ser>
        <c:axId val="520311979"/>
        <c:axId val="748273458"/>
      </c:barChart>
      <c:catAx>
        <c:axId val="5203119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48273458"/>
      </c:catAx>
      <c:valAx>
        <c:axId val="7482734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0311979"/>
      </c:valAx>
    </c:plotArea>
  </c:chart>
</c:chartSpace>
</file>

<file path=xl/charts/chart3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28'!$P$46:$P$50</c:f>
            </c:strRef>
          </c:cat>
          <c:val>
            <c:numRef>
              <c:f>'State Representative, Dist 28'!$Q$46:$Q$50</c:f>
              <c:numCache/>
            </c:numRef>
          </c:val>
        </c:ser>
        <c:axId val="1978047006"/>
        <c:axId val="1355813347"/>
      </c:barChart>
      <c:catAx>
        <c:axId val="19780470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55813347"/>
      </c:catAx>
      <c:valAx>
        <c:axId val="13558133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8047006"/>
      </c:valAx>
    </c:plotArea>
  </c:chart>
</c:chartSpace>
</file>

<file path=xl/charts/chart3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29'!$A$5:$A$7</c:f>
            </c:strRef>
          </c:cat>
          <c:val>
            <c:numRef>
              <c:f>'State Representative, Dist 29'!$B$5:$B$7</c:f>
              <c:numCache/>
            </c:numRef>
          </c:val>
        </c:ser>
        <c:axId val="1566312533"/>
        <c:axId val="201993032"/>
      </c:barChart>
      <c:catAx>
        <c:axId val="15663125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1993032"/>
      </c:catAx>
      <c:valAx>
        <c:axId val="2019930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66312533"/>
      </c:valAx>
    </c:plotArea>
  </c:chart>
</c:chartSpace>
</file>

<file path=xl/charts/chart3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29'!$A$13:$A$16</c:f>
            </c:strRef>
          </c:cat>
          <c:val>
            <c:numRef>
              <c:f>'State Representative, Dist 29'!$B$13:$B$16</c:f>
              <c:numCache/>
            </c:numRef>
          </c:val>
        </c:ser>
        <c:axId val="1549890889"/>
        <c:axId val="1205157029"/>
      </c:barChart>
      <c:catAx>
        <c:axId val="15498908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05157029"/>
      </c:catAx>
      <c:valAx>
        <c:axId val="12051570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49890889"/>
      </c:valAx>
    </c:plotArea>
  </c:chart>
</c:chartSpace>
</file>

<file path=xl/charts/chart3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29'!$A$24:$A$26</c:f>
            </c:strRef>
          </c:cat>
          <c:val>
            <c:numRef>
              <c:f>'State Representative, Dist 29'!$B$24:$B$26</c:f>
              <c:numCache/>
            </c:numRef>
          </c:val>
        </c:ser>
        <c:axId val="325553861"/>
        <c:axId val="1228799085"/>
      </c:barChart>
      <c:catAx>
        <c:axId val="3255538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28799085"/>
      </c:catAx>
      <c:valAx>
        <c:axId val="12287990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25553861"/>
      </c:valAx>
    </c:plotArea>
  </c:chart>
</c:chartSpace>
</file>

<file path=xl/charts/chart3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29'!$A$32:$A$34</c:f>
            </c:strRef>
          </c:cat>
          <c:val>
            <c:numRef>
              <c:f>'State Representative, Dist 29'!$B$32:$B$34</c:f>
              <c:numCache/>
            </c:numRef>
          </c:val>
        </c:ser>
        <c:axId val="1910898753"/>
        <c:axId val="349454826"/>
      </c:barChart>
      <c:catAx>
        <c:axId val="19108987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49454826"/>
      </c:catAx>
      <c:valAx>
        <c:axId val="3494548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10898753"/>
      </c:valAx>
    </c:plotArea>
  </c:chart>
</c:chartSpace>
</file>

<file path=xl/charts/chart3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29'!$P$11:$P$19</c:f>
            </c:strRef>
          </c:cat>
          <c:val>
            <c:numRef>
              <c:f>'State Representative, Dist 29'!$Q$11:$Q$19</c:f>
              <c:numCache/>
            </c:numRef>
          </c:val>
        </c:ser>
        <c:axId val="1850986772"/>
        <c:axId val="21433185"/>
      </c:barChart>
      <c:catAx>
        <c:axId val="18509867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1433185"/>
      </c:catAx>
      <c:valAx>
        <c:axId val="214331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0986772"/>
      </c:valAx>
    </c:plotArea>
  </c:chart>
</c:chartSpace>
</file>

<file path=xl/charts/chart3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29'!$P$23:$P$42</c:f>
            </c:strRef>
          </c:cat>
          <c:val>
            <c:numRef>
              <c:f>'State Representative, Dist 29'!$Q$23:$Q$42</c:f>
              <c:numCache/>
            </c:numRef>
          </c:val>
        </c:ser>
        <c:axId val="313361360"/>
        <c:axId val="1770541646"/>
      </c:barChart>
      <c:catAx>
        <c:axId val="3133613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70541646"/>
      </c:catAx>
      <c:valAx>
        <c:axId val="1770541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3361360"/>
      </c:valAx>
    </c:plotArea>
  </c:chart>
</c:chartSpace>
</file>

<file path=xl/charts/chart3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29'!$P$46:$P$50</c:f>
            </c:strRef>
          </c:cat>
          <c:val>
            <c:numRef>
              <c:f>'State Representative, Dist 29'!$Q$46:$Q$50</c:f>
              <c:numCache/>
            </c:numRef>
          </c:val>
        </c:ser>
        <c:axId val="359022866"/>
        <c:axId val="863073403"/>
      </c:barChart>
      <c:catAx>
        <c:axId val="3590228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63073403"/>
      </c:catAx>
      <c:valAx>
        <c:axId val="8630734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9022866"/>
      </c:valAx>
    </c:plotArea>
  </c:chart>
</c:chartSpace>
</file>

<file path=xl/charts/chart3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30'!$A$5:$A$7</c:f>
            </c:strRef>
          </c:cat>
          <c:val>
            <c:numRef>
              <c:f>'State Representative, Dist 30'!$B$5:$B$7</c:f>
              <c:numCache/>
            </c:numRef>
          </c:val>
        </c:ser>
        <c:axId val="806381608"/>
        <c:axId val="1949113254"/>
      </c:barChart>
      <c:catAx>
        <c:axId val="8063816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949113254"/>
      </c:catAx>
      <c:valAx>
        <c:axId val="19491132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806381608"/>
      </c:valAx>
    </c:plotArea>
  </c:chart>
</c:chartSpace>
</file>

<file path=xl/charts/chart3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30'!$A$13:$A$16</c:f>
            </c:strRef>
          </c:cat>
          <c:val>
            <c:numRef>
              <c:f>'State Representative, Dist 30'!$B$13:$B$16</c:f>
              <c:numCache/>
            </c:numRef>
          </c:val>
        </c:ser>
        <c:axId val="1719698857"/>
        <c:axId val="1759346406"/>
      </c:barChart>
      <c:catAx>
        <c:axId val="17196988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59346406"/>
      </c:catAx>
      <c:valAx>
        <c:axId val="17593464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19698857"/>
      </c:valAx>
    </c:plotArea>
  </c:chart>
</c:chartSpace>
</file>

<file path=xl/charts/chart3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30'!$A$24:$A$26</c:f>
            </c:strRef>
          </c:cat>
          <c:val>
            <c:numRef>
              <c:f>'State Representative, Dist 30'!$B$24:$B$26</c:f>
              <c:numCache/>
            </c:numRef>
          </c:val>
        </c:ser>
        <c:axId val="988528556"/>
        <c:axId val="984011835"/>
      </c:barChart>
      <c:catAx>
        <c:axId val="9885285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84011835"/>
      </c:catAx>
      <c:valAx>
        <c:axId val="9840118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88528556"/>
      </c:valAx>
    </c:plotArea>
  </c:chart>
</c:chartSpace>
</file>

<file path=xl/charts/chart3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30'!$A$32:$A$36</c:f>
            </c:strRef>
          </c:cat>
          <c:val>
            <c:numRef>
              <c:f>'State Representative, Dist 30'!$B$32:$B$36</c:f>
              <c:numCache/>
            </c:numRef>
          </c:val>
        </c:ser>
        <c:axId val="1156122647"/>
        <c:axId val="520293599"/>
      </c:barChart>
      <c:catAx>
        <c:axId val="11561226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20293599"/>
      </c:catAx>
      <c:valAx>
        <c:axId val="5202935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56122647"/>
      </c:valAx>
    </c:plotArea>
  </c:chart>
</c:chartSpace>
</file>

<file path=xl/charts/chart3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30'!$P$11:$P$19</c:f>
            </c:strRef>
          </c:cat>
          <c:val>
            <c:numRef>
              <c:f>'State Representative, Dist 30'!$Q$11:$Q$19</c:f>
              <c:numCache/>
            </c:numRef>
          </c:val>
        </c:ser>
        <c:axId val="2016354591"/>
        <c:axId val="1167709438"/>
      </c:barChart>
      <c:catAx>
        <c:axId val="20163545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67709438"/>
      </c:catAx>
      <c:valAx>
        <c:axId val="11677094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6354591"/>
      </c:valAx>
    </c:plotArea>
  </c:chart>
</c:chartSpace>
</file>

<file path=xl/charts/chart3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30'!$P$23:$P$42</c:f>
            </c:strRef>
          </c:cat>
          <c:val>
            <c:numRef>
              <c:f>'State Representative, Dist 30'!$Q$23:$Q$42</c:f>
              <c:numCache/>
            </c:numRef>
          </c:val>
        </c:ser>
        <c:axId val="1324941894"/>
        <c:axId val="972891090"/>
      </c:barChart>
      <c:catAx>
        <c:axId val="13249418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72891090"/>
      </c:catAx>
      <c:valAx>
        <c:axId val="9728910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4941894"/>
      </c:valAx>
    </c:plotArea>
  </c:chart>
</c:chartSpace>
</file>

<file path=xl/charts/chart3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30'!$P$46:$P$50</c:f>
            </c:strRef>
          </c:cat>
          <c:val>
            <c:numRef>
              <c:f>'State Representative, Dist 30'!$Q$46:$Q$50</c:f>
              <c:numCache/>
            </c:numRef>
          </c:val>
        </c:ser>
        <c:axId val="1126761742"/>
        <c:axId val="590394453"/>
      </c:barChart>
      <c:catAx>
        <c:axId val="1126761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90394453"/>
      </c:catAx>
      <c:valAx>
        <c:axId val="5903944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26761742"/>
      </c:valAx>
    </c:plotArea>
  </c:chart>
</c:chartSpace>
</file>

<file path=xl/charts/chart3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31'!$A$5:$A$7</c:f>
            </c:strRef>
          </c:cat>
          <c:val>
            <c:numRef>
              <c:f>'State Representative, Dist 31'!$B$5:$B$7</c:f>
              <c:numCache/>
            </c:numRef>
          </c:val>
        </c:ser>
        <c:axId val="480620571"/>
        <c:axId val="291349539"/>
      </c:barChart>
      <c:catAx>
        <c:axId val="4806205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91349539"/>
      </c:catAx>
      <c:valAx>
        <c:axId val="2913495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80620571"/>
      </c:valAx>
    </c:plotArea>
  </c:chart>
</c:chartSpace>
</file>

<file path=xl/charts/chart3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31'!$A$13:$A$16</c:f>
            </c:strRef>
          </c:cat>
          <c:val>
            <c:numRef>
              <c:f>'State Representative, Dist 31'!$B$13:$B$16</c:f>
              <c:numCache/>
            </c:numRef>
          </c:val>
        </c:ser>
        <c:axId val="744571120"/>
        <c:axId val="215323148"/>
      </c:barChart>
      <c:catAx>
        <c:axId val="7445711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15323148"/>
      </c:catAx>
      <c:valAx>
        <c:axId val="2153231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44571120"/>
      </c:valAx>
    </c:plotArea>
  </c:chart>
</c:chartSpace>
</file>

<file path=xl/charts/chart3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31'!$A$24:$A$26</c:f>
            </c:strRef>
          </c:cat>
          <c:val>
            <c:numRef>
              <c:f>'State Representative, Dist 31'!$B$24:$B$26</c:f>
              <c:numCache/>
            </c:numRef>
          </c:val>
        </c:ser>
        <c:axId val="1515711761"/>
        <c:axId val="1494953832"/>
      </c:barChart>
      <c:catAx>
        <c:axId val="15157117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94953832"/>
      </c:catAx>
      <c:valAx>
        <c:axId val="14949538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15711761"/>
      </c:valAx>
    </c:plotArea>
  </c:chart>
</c:chartSpace>
</file>

<file path=xl/charts/chart3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31'!$P$11:$P$19</c:f>
            </c:strRef>
          </c:cat>
          <c:val>
            <c:numRef>
              <c:f>'State Representative, Dist 31'!$Q$11:$Q$19</c:f>
              <c:numCache/>
            </c:numRef>
          </c:val>
        </c:ser>
        <c:axId val="1566701481"/>
        <c:axId val="1953659000"/>
      </c:barChart>
      <c:catAx>
        <c:axId val="15667014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953659000"/>
      </c:catAx>
      <c:valAx>
        <c:axId val="19536590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6701481"/>
      </c:valAx>
    </c:plotArea>
  </c:chart>
</c:chartSpace>
</file>

<file path=xl/charts/chart3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31'!$P$23:$P$42</c:f>
            </c:strRef>
          </c:cat>
          <c:val>
            <c:numRef>
              <c:f>'State Representative, Dist 31'!$Q$23:$Q$42</c:f>
              <c:numCache/>
            </c:numRef>
          </c:val>
        </c:ser>
        <c:axId val="1619633443"/>
        <c:axId val="864613987"/>
      </c:barChart>
      <c:catAx>
        <c:axId val="16196334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64613987"/>
      </c:catAx>
      <c:valAx>
        <c:axId val="8646139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9633443"/>
      </c:valAx>
    </c:plotArea>
  </c:chart>
</c:chartSpace>
</file>

<file path=xl/charts/chart3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31'!$P$46:$P$50</c:f>
            </c:strRef>
          </c:cat>
          <c:val>
            <c:numRef>
              <c:f>'State Representative, Dist 31'!$Q$46:$Q$50</c:f>
              <c:numCache/>
            </c:numRef>
          </c:val>
        </c:ser>
        <c:axId val="594017761"/>
        <c:axId val="602652500"/>
      </c:barChart>
      <c:catAx>
        <c:axId val="5940177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02652500"/>
      </c:catAx>
      <c:valAx>
        <c:axId val="6026525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4017761"/>
      </c:valAx>
    </c:plotArea>
  </c:chart>
</c:chartSpace>
</file>

<file path=xl/charts/chart3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32'!$A$5:$A$7</c:f>
            </c:strRef>
          </c:cat>
          <c:val>
            <c:numRef>
              <c:f>'State Representative, Dist 32'!$B$5:$B$7</c:f>
              <c:numCache/>
            </c:numRef>
          </c:val>
        </c:ser>
        <c:axId val="1740374649"/>
        <c:axId val="1159327720"/>
      </c:barChart>
      <c:catAx>
        <c:axId val="17403746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59327720"/>
      </c:catAx>
      <c:valAx>
        <c:axId val="11593277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40374649"/>
      </c:valAx>
    </c:plotArea>
  </c:chart>
</c:chartSpace>
</file>

<file path=xl/charts/chart3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32'!$A$13:$A$15</c:f>
            </c:strRef>
          </c:cat>
          <c:val>
            <c:numRef>
              <c:f>'State Representative, Dist 32'!$B$13:$B$15</c:f>
              <c:numCache/>
            </c:numRef>
          </c:val>
        </c:ser>
        <c:axId val="776737566"/>
        <c:axId val="511705977"/>
      </c:barChart>
      <c:catAx>
        <c:axId val="7767375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11705977"/>
      </c:catAx>
      <c:valAx>
        <c:axId val="5117059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76737566"/>
      </c:valAx>
    </c:plotArea>
  </c:chart>
</c:chartSpace>
</file>

<file path=xl/charts/chart3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32'!$A$23:$A$25</c:f>
            </c:strRef>
          </c:cat>
          <c:val>
            <c:numRef>
              <c:f>'State Representative, Dist 32'!$B$23:$B$25</c:f>
              <c:numCache/>
            </c:numRef>
          </c:val>
        </c:ser>
        <c:axId val="1038181114"/>
        <c:axId val="1435199231"/>
      </c:barChart>
      <c:catAx>
        <c:axId val="10381811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35199231"/>
      </c:catAx>
      <c:valAx>
        <c:axId val="14351992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038181114"/>
      </c:valAx>
    </c:plotArea>
  </c:chart>
</c:chartSpace>
</file>

<file path=xl/charts/chart3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32'!$A$31:$A$33</c:f>
            </c:strRef>
          </c:cat>
          <c:val>
            <c:numRef>
              <c:f>'State Representative, Dist 32'!$B$31:$B$33</c:f>
              <c:numCache/>
            </c:numRef>
          </c:val>
        </c:ser>
        <c:axId val="576957570"/>
        <c:axId val="197038698"/>
      </c:barChart>
      <c:catAx>
        <c:axId val="5769575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97038698"/>
      </c:catAx>
      <c:valAx>
        <c:axId val="1970386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76957570"/>
      </c:valAx>
    </c:plotArea>
  </c:chart>
</c:chartSpace>
</file>

<file path=xl/charts/chart3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32'!$P$11:$P$19</c:f>
            </c:strRef>
          </c:cat>
          <c:val>
            <c:numRef>
              <c:f>'State Representative, Dist 32'!$Q$11:$Q$19</c:f>
              <c:numCache/>
            </c:numRef>
          </c:val>
        </c:ser>
        <c:axId val="78884938"/>
        <c:axId val="813709871"/>
      </c:barChart>
      <c:catAx>
        <c:axId val="788849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13709871"/>
      </c:catAx>
      <c:valAx>
        <c:axId val="8137098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884938"/>
      </c:valAx>
    </c:plotArea>
  </c:chart>
</c:chartSpace>
</file>

<file path=xl/charts/chart3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32'!$P$23:$P$42</c:f>
            </c:strRef>
          </c:cat>
          <c:val>
            <c:numRef>
              <c:f>'State Representative, Dist 32'!$Q$23:$Q$42</c:f>
              <c:numCache/>
            </c:numRef>
          </c:val>
        </c:ser>
        <c:axId val="1689080217"/>
        <c:axId val="1344261063"/>
      </c:barChart>
      <c:catAx>
        <c:axId val="16890802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44261063"/>
      </c:catAx>
      <c:valAx>
        <c:axId val="13442610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9080217"/>
      </c:valAx>
    </c:plotArea>
  </c:chart>
</c:chartSpace>
</file>

<file path=xl/charts/chart3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32'!$P$46:$P$50</c:f>
            </c:strRef>
          </c:cat>
          <c:val>
            <c:numRef>
              <c:f>'State Representative, Dist 32'!$Q$46:$Q$50</c:f>
              <c:numCache/>
            </c:numRef>
          </c:val>
        </c:ser>
        <c:axId val="2076449509"/>
        <c:axId val="1254235673"/>
      </c:barChart>
      <c:catAx>
        <c:axId val="2076449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54235673"/>
      </c:catAx>
      <c:valAx>
        <c:axId val="12542356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6449509"/>
      </c:valAx>
    </c:plotArea>
  </c:chart>
</c:chartSpace>
</file>

<file path=xl/charts/chart3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33'!$A$5:$A$7</c:f>
            </c:strRef>
          </c:cat>
          <c:val>
            <c:numRef>
              <c:f>'State Representative, Dist 33'!$B$5:$B$7</c:f>
              <c:numCache/>
            </c:numRef>
          </c:val>
        </c:ser>
        <c:axId val="1533306902"/>
        <c:axId val="653574806"/>
      </c:barChart>
      <c:catAx>
        <c:axId val="15333069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53574806"/>
      </c:catAx>
      <c:valAx>
        <c:axId val="6535748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33306902"/>
      </c:valAx>
    </c:plotArea>
  </c:chart>
</c:chartSpace>
</file>

<file path=xl/charts/chart3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33'!$A$15:$A$18</c:f>
            </c:strRef>
          </c:cat>
          <c:val>
            <c:numRef>
              <c:f>'State Representative, Dist 33'!$B$15:$B$18</c:f>
              <c:numCache/>
            </c:numRef>
          </c:val>
        </c:ser>
        <c:axId val="300633837"/>
        <c:axId val="761252883"/>
      </c:barChart>
      <c:catAx>
        <c:axId val="3006338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61252883"/>
      </c:catAx>
      <c:valAx>
        <c:axId val="7612528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00633837"/>
      </c:valAx>
    </c:plotArea>
  </c:chart>
</c:chartSpace>
</file>

<file path=xl/charts/chart3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33'!$P$11:$P$19</c:f>
            </c:strRef>
          </c:cat>
          <c:val>
            <c:numRef>
              <c:f>'State Representative, Dist 33'!$Q$11:$Q$19</c:f>
              <c:numCache/>
            </c:numRef>
          </c:val>
        </c:ser>
        <c:axId val="1732665759"/>
        <c:axId val="1439717529"/>
      </c:barChart>
      <c:catAx>
        <c:axId val="17326657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39717529"/>
      </c:catAx>
      <c:valAx>
        <c:axId val="14397175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2665759"/>
      </c:valAx>
    </c:plotArea>
  </c:chart>
</c:chartSpace>
</file>

<file path=xl/charts/chart3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33'!$P$23:$P$42</c:f>
            </c:strRef>
          </c:cat>
          <c:val>
            <c:numRef>
              <c:f>'State Representative, Dist 33'!$Q$23:$Q$42</c:f>
              <c:numCache/>
            </c:numRef>
          </c:val>
        </c:ser>
        <c:axId val="1643505954"/>
        <c:axId val="1263428043"/>
      </c:barChart>
      <c:catAx>
        <c:axId val="1643505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63428043"/>
      </c:catAx>
      <c:valAx>
        <c:axId val="12634280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3505954"/>
      </c:valAx>
    </c:plotArea>
  </c:chart>
</c:chartSpace>
</file>

<file path=xl/charts/chart3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33'!$P$46:$P$50</c:f>
            </c:strRef>
          </c:cat>
          <c:val>
            <c:numRef>
              <c:f>'State Representative, Dist 33'!$Q$46:$Q$50</c:f>
              <c:numCache/>
            </c:numRef>
          </c:val>
        </c:ser>
        <c:axId val="336771292"/>
        <c:axId val="2132637931"/>
      </c:barChart>
      <c:catAx>
        <c:axId val="3367712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132637931"/>
      </c:catAx>
      <c:valAx>
        <c:axId val="21326379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6771292"/>
      </c:valAx>
    </c:plotArea>
  </c:chart>
</c:chartSpace>
</file>

<file path=xl/charts/chart3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34'!$A$5:$A$7</c:f>
            </c:strRef>
          </c:cat>
          <c:val>
            <c:numRef>
              <c:f>'State Representative, Dist 34'!$B$5:$B$7</c:f>
              <c:numCache/>
            </c:numRef>
          </c:val>
        </c:ser>
        <c:axId val="1360226367"/>
        <c:axId val="2077692108"/>
      </c:barChart>
      <c:catAx>
        <c:axId val="13602263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77692108"/>
      </c:catAx>
      <c:valAx>
        <c:axId val="20776921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60226367"/>
      </c:valAx>
    </c:plotArea>
  </c:chart>
</c:chartSpace>
</file>

<file path=xl/charts/chart3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34'!$A$13:$A$15</c:f>
            </c:strRef>
          </c:cat>
          <c:val>
            <c:numRef>
              <c:f>'State Representative, Dist 34'!$B$13:$B$15</c:f>
              <c:numCache/>
            </c:numRef>
          </c:val>
        </c:ser>
        <c:axId val="1154456483"/>
        <c:axId val="1439640421"/>
      </c:barChart>
      <c:catAx>
        <c:axId val="11544564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39640421"/>
      </c:catAx>
      <c:valAx>
        <c:axId val="14396404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54456483"/>
      </c:valAx>
    </c:plotArea>
  </c:chart>
</c:chartSpace>
</file>

<file path=xl/charts/chart3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34'!$A$23:$A$25</c:f>
            </c:strRef>
          </c:cat>
          <c:val>
            <c:numRef>
              <c:f>'State Representative, Dist 34'!$B$23:$B$25</c:f>
              <c:numCache/>
            </c:numRef>
          </c:val>
        </c:ser>
        <c:axId val="804930370"/>
        <c:axId val="1077624314"/>
      </c:barChart>
      <c:catAx>
        <c:axId val="8049303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77624314"/>
      </c:catAx>
      <c:valAx>
        <c:axId val="10776243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804930370"/>
      </c:valAx>
    </c:plotArea>
  </c:chart>
</c:chartSpace>
</file>

<file path=xl/charts/chart3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34'!$A$31:$A$34</c:f>
            </c:strRef>
          </c:cat>
          <c:val>
            <c:numRef>
              <c:f>'State Representative, Dist 34'!$B$31:$B$34</c:f>
              <c:numCache/>
            </c:numRef>
          </c:val>
        </c:ser>
        <c:axId val="879207364"/>
        <c:axId val="625983437"/>
      </c:barChart>
      <c:catAx>
        <c:axId val="8792073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25983437"/>
      </c:catAx>
      <c:valAx>
        <c:axId val="6259834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879207364"/>
      </c:valAx>
    </c:plotArea>
  </c:chart>
</c:chartSpace>
</file>

<file path=xl/charts/chart3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34'!$P$11:$P$19</c:f>
            </c:strRef>
          </c:cat>
          <c:val>
            <c:numRef>
              <c:f>'State Representative, Dist 34'!$Q$11:$Q$19</c:f>
              <c:numCache/>
            </c:numRef>
          </c:val>
        </c:ser>
        <c:axId val="455565154"/>
        <c:axId val="988614934"/>
      </c:barChart>
      <c:catAx>
        <c:axId val="4555651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88614934"/>
      </c:catAx>
      <c:valAx>
        <c:axId val="9886149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5565154"/>
      </c:valAx>
    </c:plotArea>
  </c:chart>
</c:chartSpace>
</file>

<file path=xl/charts/chart3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34'!$P$23:$P$42</c:f>
            </c:strRef>
          </c:cat>
          <c:val>
            <c:numRef>
              <c:f>'State Representative, Dist 34'!$Q$23:$Q$42</c:f>
              <c:numCache/>
            </c:numRef>
          </c:val>
        </c:ser>
        <c:axId val="862892673"/>
        <c:axId val="930558622"/>
      </c:barChart>
      <c:catAx>
        <c:axId val="8628926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30558622"/>
      </c:catAx>
      <c:valAx>
        <c:axId val="9305586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2892673"/>
      </c:valAx>
    </c:plotArea>
  </c:chart>
</c:chartSpace>
</file>

<file path=xl/charts/chart3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34'!$P$46:$P$50</c:f>
            </c:strRef>
          </c:cat>
          <c:val>
            <c:numRef>
              <c:f>'State Representative, Dist 34'!$Q$46:$Q$50</c:f>
              <c:numCache/>
            </c:numRef>
          </c:val>
        </c:ser>
        <c:axId val="2045803251"/>
        <c:axId val="1819964479"/>
      </c:barChart>
      <c:catAx>
        <c:axId val="20458032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19964479"/>
      </c:catAx>
      <c:valAx>
        <c:axId val="1819964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5803251"/>
      </c:valAx>
    </c:plotArea>
  </c:chart>
</c:chartSpace>
</file>

<file path=xl/charts/chart3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35'!$A$5:$A$9</c:f>
            </c:strRef>
          </c:cat>
          <c:val>
            <c:numRef>
              <c:f>'State Representative, Dist 35'!$B$5:$B$9</c:f>
              <c:numCache/>
            </c:numRef>
          </c:val>
        </c:ser>
        <c:axId val="739051306"/>
        <c:axId val="317256972"/>
      </c:barChart>
      <c:catAx>
        <c:axId val="7390513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17256972"/>
      </c:catAx>
      <c:valAx>
        <c:axId val="3172569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39051306"/>
      </c:valAx>
    </c:plotArea>
  </c:chart>
</c:chartSpace>
</file>

<file path=xl/charts/chart3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35'!$A$17:$A$19</c:f>
            </c:strRef>
          </c:cat>
          <c:val>
            <c:numRef>
              <c:f>'State Representative, Dist 35'!$B$17:$B$19</c:f>
              <c:numCache/>
            </c:numRef>
          </c:val>
        </c:ser>
        <c:axId val="2131100855"/>
        <c:axId val="267877525"/>
      </c:barChart>
      <c:catAx>
        <c:axId val="21311008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67877525"/>
      </c:catAx>
      <c:valAx>
        <c:axId val="2678775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131100855"/>
      </c:valAx>
    </c:plotArea>
  </c:chart>
</c:chartSpace>
</file>

<file path=xl/charts/chart3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35'!$A$25:$A$30</c:f>
            </c:strRef>
          </c:cat>
          <c:val>
            <c:numRef>
              <c:f>'State Representative, Dist 35'!$B$25:$B$30</c:f>
              <c:numCache/>
            </c:numRef>
          </c:val>
        </c:ser>
        <c:axId val="629624053"/>
        <c:axId val="491008804"/>
      </c:barChart>
      <c:catAx>
        <c:axId val="6296240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491008804"/>
      </c:catAx>
      <c:valAx>
        <c:axId val="4910088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29624053"/>
      </c:valAx>
    </c:plotArea>
  </c:chart>
</c:chartSpace>
</file>

<file path=xl/charts/chart3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35'!$P$11:$P$19</c:f>
            </c:strRef>
          </c:cat>
          <c:val>
            <c:numRef>
              <c:f>'State Representative, Dist 35'!$Q$11:$Q$19</c:f>
              <c:numCache/>
            </c:numRef>
          </c:val>
        </c:ser>
        <c:axId val="1250609466"/>
        <c:axId val="251489277"/>
      </c:barChart>
      <c:catAx>
        <c:axId val="12506094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51489277"/>
      </c:catAx>
      <c:valAx>
        <c:axId val="2514892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0609466"/>
      </c:valAx>
    </c:plotArea>
  </c:chart>
</c:chartSpace>
</file>

<file path=xl/charts/chart3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35'!$P$23:$P$42</c:f>
            </c:strRef>
          </c:cat>
          <c:val>
            <c:numRef>
              <c:f>'State Representative, Dist 35'!$Q$23:$Q$42</c:f>
              <c:numCache/>
            </c:numRef>
          </c:val>
        </c:ser>
        <c:axId val="1096930327"/>
        <c:axId val="662719057"/>
      </c:barChart>
      <c:catAx>
        <c:axId val="1096930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62719057"/>
      </c:catAx>
      <c:valAx>
        <c:axId val="6627190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6930327"/>
      </c:valAx>
    </c:plotArea>
  </c:chart>
</c:chartSpace>
</file>

<file path=xl/charts/chart3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35'!$P$46:$P$50</c:f>
            </c:strRef>
          </c:cat>
          <c:val>
            <c:numRef>
              <c:f>'State Representative, Dist 35'!$Q$46:$Q$50</c:f>
              <c:numCache/>
            </c:numRef>
          </c:val>
        </c:ser>
        <c:axId val="1242621722"/>
        <c:axId val="1724466154"/>
      </c:barChart>
      <c:catAx>
        <c:axId val="12426217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24466154"/>
      </c:catAx>
      <c:valAx>
        <c:axId val="1724466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2621722"/>
      </c:valAx>
    </c:plotArea>
  </c:chart>
</c:chartSpace>
</file>

<file path=xl/charts/chart3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36'!$A$5:$A$7</c:f>
            </c:strRef>
          </c:cat>
          <c:val>
            <c:numRef>
              <c:f>'State Representative, Dist 36'!$B$5:$B$7</c:f>
              <c:numCache/>
            </c:numRef>
          </c:val>
        </c:ser>
        <c:axId val="699424474"/>
        <c:axId val="962732795"/>
      </c:barChart>
      <c:catAx>
        <c:axId val="6994244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62732795"/>
      </c:catAx>
      <c:valAx>
        <c:axId val="9627327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99424474"/>
      </c:valAx>
    </c:plotArea>
  </c:chart>
</c:chartSpace>
</file>

<file path=xl/charts/chart3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36'!$A$15:$A$17</c:f>
            </c:strRef>
          </c:cat>
          <c:val>
            <c:numRef>
              <c:f>'State Representative, Dist 36'!$B$15:$B$17</c:f>
              <c:numCache/>
            </c:numRef>
          </c:val>
        </c:ser>
        <c:axId val="437150396"/>
        <c:axId val="2095718993"/>
      </c:barChart>
      <c:catAx>
        <c:axId val="4371503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95718993"/>
      </c:catAx>
      <c:valAx>
        <c:axId val="20957189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37150396"/>
      </c:valAx>
    </c:plotArea>
  </c:chart>
</c:chartSpace>
</file>

<file path=xl/charts/chart36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36'!$A$23:$A$26</c:f>
            </c:strRef>
          </c:cat>
          <c:val>
            <c:numRef>
              <c:f>'State Representative, Dist 36'!$B$23:$B$26</c:f>
              <c:numCache/>
            </c:numRef>
          </c:val>
        </c:ser>
        <c:axId val="483147059"/>
        <c:axId val="1446826562"/>
      </c:barChart>
      <c:catAx>
        <c:axId val="4831470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46826562"/>
      </c:catAx>
      <c:valAx>
        <c:axId val="14468265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83147059"/>
      </c:valAx>
    </c:plotArea>
  </c:chart>
</c:chartSpace>
</file>

<file path=xl/charts/chart36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36'!$P$11:$P$19</c:f>
            </c:strRef>
          </c:cat>
          <c:val>
            <c:numRef>
              <c:f>'State Representative, Dist 36'!$Q$11:$Q$19</c:f>
              <c:numCache/>
            </c:numRef>
          </c:val>
        </c:ser>
        <c:axId val="2055031131"/>
        <c:axId val="1626432245"/>
      </c:barChart>
      <c:catAx>
        <c:axId val="20550311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26432245"/>
      </c:catAx>
      <c:valAx>
        <c:axId val="16264322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5031131"/>
      </c:valAx>
    </c:plotArea>
  </c:chart>
</c:chartSpace>
</file>

<file path=xl/charts/chart36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36'!$P$23:$P$42</c:f>
            </c:strRef>
          </c:cat>
          <c:val>
            <c:numRef>
              <c:f>'State Representative, Dist 36'!$Q$23:$Q$42</c:f>
              <c:numCache/>
            </c:numRef>
          </c:val>
        </c:ser>
        <c:axId val="2102010979"/>
        <c:axId val="489845421"/>
      </c:barChart>
      <c:catAx>
        <c:axId val="21020109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89845421"/>
      </c:catAx>
      <c:valAx>
        <c:axId val="4898454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2010979"/>
      </c:valAx>
    </c:plotArea>
  </c:chart>
</c:chartSpace>
</file>

<file path=xl/charts/chart36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36'!$P$46:$P$50</c:f>
            </c:strRef>
          </c:cat>
          <c:val>
            <c:numRef>
              <c:f>'State Representative, Dist 36'!$Q$46:$Q$50</c:f>
              <c:numCache/>
            </c:numRef>
          </c:val>
        </c:ser>
        <c:axId val="381760231"/>
        <c:axId val="1928075802"/>
      </c:barChart>
      <c:catAx>
        <c:axId val="3817602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928075802"/>
      </c:catAx>
      <c:valAx>
        <c:axId val="19280758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1760231"/>
      </c:valAx>
    </c:plotArea>
  </c:chart>
</c:chartSpace>
</file>

<file path=xl/charts/chart36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37'!$A$5:$A$7</c:f>
            </c:strRef>
          </c:cat>
          <c:val>
            <c:numRef>
              <c:f>'State Representative, Dist 37'!$B$5:$B$7</c:f>
              <c:numCache/>
            </c:numRef>
          </c:val>
        </c:ser>
        <c:axId val="616065118"/>
        <c:axId val="530006914"/>
      </c:barChart>
      <c:catAx>
        <c:axId val="6160651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30006914"/>
      </c:catAx>
      <c:valAx>
        <c:axId val="530006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16065118"/>
      </c:valAx>
    </c:plotArea>
  </c:chart>
</c:chartSpace>
</file>

<file path=xl/charts/chart36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37'!$A$13:$A$16</c:f>
            </c:strRef>
          </c:cat>
          <c:val>
            <c:numRef>
              <c:f>'State Representative, Dist 37'!$B$13:$B$16</c:f>
              <c:numCache/>
            </c:numRef>
          </c:val>
        </c:ser>
        <c:axId val="1819892214"/>
        <c:axId val="1160742418"/>
      </c:barChart>
      <c:catAx>
        <c:axId val="18198922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60742418"/>
      </c:catAx>
      <c:valAx>
        <c:axId val="11607424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19892214"/>
      </c:valAx>
    </c:plotArea>
  </c:chart>
</c:chartSpace>
</file>

<file path=xl/charts/chart36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37'!$A$24:$A$26</c:f>
            </c:strRef>
          </c:cat>
          <c:val>
            <c:numRef>
              <c:f>'State Representative, Dist 37'!$B$24:$B$26</c:f>
              <c:numCache/>
            </c:numRef>
          </c:val>
        </c:ser>
        <c:axId val="2032400407"/>
        <c:axId val="300025699"/>
      </c:barChart>
      <c:catAx>
        <c:axId val="20324004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00025699"/>
      </c:catAx>
      <c:valAx>
        <c:axId val="3000256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032400407"/>
      </c:valAx>
    </c:plotArea>
  </c:chart>
</c:chartSpace>
</file>

<file path=xl/charts/chart36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37'!$A$32:$A$35</c:f>
            </c:strRef>
          </c:cat>
          <c:val>
            <c:numRef>
              <c:f>'State Representative, Dist 37'!$B$32:$B$35</c:f>
              <c:numCache/>
            </c:numRef>
          </c:val>
        </c:ser>
        <c:axId val="1082236648"/>
        <c:axId val="1667150860"/>
      </c:barChart>
      <c:catAx>
        <c:axId val="10822366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67150860"/>
      </c:catAx>
      <c:valAx>
        <c:axId val="16671508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082236648"/>
      </c:valAx>
    </c:plotArea>
  </c:chart>
</c:chartSpace>
</file>

<file path=xl/charts/chart37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37'!$P$11:$P$19</c:f>
            </c:strRef>
          </c:cat>
          <c:val>
            <c:numRef>
              <c:f>'State Representative, Dist 37'!$Q$11:$Q$19</c:f>
              <c:numCache/>
            </c:numRef>
          </c:val>
        </c:ser>
        <c:axId val="334828192"/>
        <c:axId val="1609041919"/>
      </c:barChart>
      <c:catAx>
        <c:axId val="3348281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09041919"/>
      </c:catAx>
      <c:valAx>
        <c:axId val="1609041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4828192"/>
      </c:valAx>
    </c:plotArea>
  </c:chart>
</c:chartSpace>
</file>

<file path=xl/charts/chart37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37'!$P$23:$P$42</c:f>
            </c:strRef>
          </c:cat>
          <c:val>
            <c:numRef>
              <c:f>'State Representative, Dist 37'!$Q$23:$Q$42</c:f>
              <c:numCache/>
            </c:numRef>
          </c:val>
        </c:ser>
        <c:axId val="1810835873"/>
        <c:axId val="128170848"/>
      </c:barChart>
      <c:catAx>
        <c:axId val="18108358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8170848"/>
      </c:catAx>
      <c:valAx>
        <c:axId val="1281708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0835873"/>
      </c:valAx>
    </c:plotArea>
  </c:chart>
</c:chartSpace>
</file>

<file path=xl/charts/chart37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37'!$P$46:$P$50</c:f>
            </c:strRef>
          </c:cat>
          <c:val>
            <c:numRef>
              <c:f>'State Representative, Dist 37'!$Q$46:$Q$50</c:f>
              <c:numCache/>
            </c:numRef>
          </c:val>
        </c:ser>
        <c:axId val="1567251291"/>
        <c:axId val="1976927421"/>
      </c:barChart>
      <c:catAx>
        <c:axId val="15672512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976927421"/>
      </c:catAx>
      <c:valAx>
        <c:axId val="19769274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7251291"/>
      </c:valAx>
    </c:plotArea>
  </c:chart>
</c:chartSpace>
</file>

<file path=xl/charts/chart37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38'!$A$5:$A$7</c:f>
            </c:strRef>
          </c:cat>
          <c:val>
            <c:numRef>
              <c:f>'State Representative, Dist 38'!$B$5:$B$7</c:f>
              <c:numCache/>
            </c:numRef>
          </c:val>
        </c:ser>
        <c:axId val="1409590998"/>
        <c:axId val="1859971515"/>
      </c:barChart>
      <c:catAx>
        <c:axId val="14095909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859971515"/>
      </c:catAx>
      <c:valAx>
        <c:axId val="18599715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09590998"/>
      </c:valAx>
    </c:plotArea>
  </c:chart>
</c:chartSpace>
</file>

<file path=xl/charts/chart37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38'!$A$13:$A$15</c:f>
            </c:strRef>
          </c:cat>
          <c:val>
            <c:numRef>
              <c:f>'State Representative, Dist 38'!$B$13:$B$15</c:f>
              <c:numCache/>
            </c:numRef>
          </c:val>
        </c:ser>
        <c:axId val="309585633"/>
        <c:axId val="380433900"/>
      </c:barChart>
      <c:catAx>
        <c:axId val="3095856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80433900"/>
      </c:catAx>
      <c:valAx>
        <c:axId val="3804339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09585633"/>
      </c:valAx>
    </c:plotArea>
  </c:chart>
</c:chartSpace>
</file>

<file path=xl/charts/chart37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38'!$A$23:$A$25</c:f>
            </c:strRef>
          </c:cat>
          <c:val>
            <c:numRef>
              <c:f>'State Representative, Dist 38'!$B$23:$B$25</c:f>
              <c:numCache/>
            </c:numRef>
          </c:val>
        </c:ser>
        <c:axId val="1201111555"/>
        <c:axId val="422708223"/>
      </c:barChart>
      <c:catAx>
        <c:axId val="12011115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422708223"/>
      </c:catAx>
      <c:valAx>
        <c:axId val="4227082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01111555"/>
      </c:valAx>
    </c:plotArea>
  </c:chart>
</c:chartSpace>
</file>

<file path=xl/charts/chart37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38'!$A$31:$A$33</c:f>
            </c:strRef>
          </c:cat>
          <c:val>
            <c:numRef>
              <c:f>'State Representative, Dist 38'!$B$31:$B$33</c:f>
              <c:numCache/>
            </c:numRef>
          </c:val>
        </c:ser>
        <c:axId val="1910800645"/>
        <c:axId val="1722301129"/>
      </c:barChart>
      <c:catAx>
        <c:axId val="19108006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22301129"/>
      </c:catAx>
      <c:valAx>
        <c:axId val="17223011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10800645"/>
      </c:valAx>
    </c:plotArea>
  </c:chart>
</c:chartSpace>
</file>

<file path=xl/charts/chart37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38'!$P$11:$P$19</c:f>
            </c:strRef>
          </c:cat>
          <c:val>
            <c:numRef>
              <c:f>'State Representative, Dist 38'!$Q$11:$Q$19</c:f>
              <c:numCache/>
            </c:numRef>
          </c:val>
        </c:ser>
        <c:axId val="1302319774"/>
        <c:axId val="1135291693"/>
      </c:barChart>
      <c:catAx>
        <c:axId val="13023197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35291693"/>
      </c:catAx>
      <c:valAx>
        <c:axId val="1135291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2319774"/>
      </c:valAx>
    </c:plotArea>
  </c:chart>
</c:chartSpace>
</file>

<file path=xl/charts/chart37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38'!$P$23:$P$42</c:f>
            </c:strRef>
          </c:cat>
          <c:val>
            <c:numRef>
              <c:f>'State Representative, Dist 38'!$Q$23:$Q$42</c:f>
              <c:numCache/>
            </c:numRef>
          </c:val>
        </c:ser>
        <c:axId val="1130414555"/>
        <c:axId val="1424332343"/>
      </c:barChart>
      <c:catAx>
        <c:axId val="11304145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24332343"/>
      </c:catAx>
      <c:valAx>
        <c:axId val="14243323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0414555"/>
      </c:valAx>
    </c:plotArea>
  </c:chart>
</c:chartSpace>
</file>

<file path=xl/charts/chart37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38'!$P$46:$P$50</c:f>
            </c:strRef>
          </c:cat>
          <c:val>
            <c:numRef>
              <c:f>'State Representative, Dist 38'!$Q$46:$Q$50</c:f>
              <c:numCache/>
            </c:numRef>
          </c:val>
        </c:ser>
        <c:axId val="1149552641"/>
        <c:axId val="578501923"/>
      </c:barChart>
      <c:catAx>
        <c:axId val="1149552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78501923"/>
      </c:catAx>
      <c:valAx>
        <c:axId val="5785019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9552641"/>
      </c:valAx>
    </c:plotArea>
  </c:chart>
</c:chartSpace>
</file>

<file path=xl/charts/chart38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39'!$A$5:$A$7</c:f>
            </c:strRef>
          </c:cat>
          <c:val>
            <c:numRef>
              <c:f>'State Representative, Dist 39'!$B$5:$B$7</c:f>
              <c:numCache/>
            </c:numRef>
          </c:val>
        </c:ser>
        <c:axId val="1476919383"/>
        <c:axId val="583262495"/>
      </c:barChart>
      <c:catAx>
        <c:axId val="14769193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83262495"/>
      </c:catAx>
      <c:valAx>
        <c:axId val="5832624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76919383"/>
      </c:valAx>
    </c:plotArea>
  </c:chart>
</c:chartSpace>
</file>

<file path=xl/charts/chart38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39'!$A$13:$A$16</c:f>
            </c:strRef>
          </c:cat>
          <c:val>
            <c:numRef>
              <c:f>'State Representative, Dist 39'!$B$13:$B$16</c:f>
              <c:numCache/>
            </c:numRef>
          </c:val>
        </c:ser>
        <c:axId val="673578447"/>
        <c:axId val="659851908"/>
      </c:barChart>
      <c:catAx>
        <c:axId val="6735784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59851908"/>
      </c:catAx>
      <c:valAx>
        <c:axId val="6598519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73578447"/>
      </c:valAx>
    </c:plotArea>
  </c:chart>
</c:chartSpace>
</file>

<file path=xl/charts/chart38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39'!$A$24:$A$27</c:f>
            </c:strRef>
          </c:cat>
          <c:val>
            <c:numRef>
              <c:f>'State Representative, Dist 39'!$B$24:$B$27</c:f>
              <c:numCache/>
            </c:numRef>
          </c:val>
        </c:ser>
        <c:axId val="655999167"/>
        <c:axId val="1471778835"/>
      </c:barChart>
      <c:catAx>
        <c:axId val="6559991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71778835"/>
      </c:catAx>
      <c:valAx>
        <c:axId val="14717788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55999167"/>
      </c:valAx>
    </c:plotArea>
  </c:chart>
</c:chartSpace>
</file>

<file path=xl/charts/chart38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39'!$A$33:$A$37</c:f>
            </c:strRef>
          </c:cat>
          <c:val>
            <c:numRef>
              <c:f>'State Representative, Dist 39'!$B$33:$B$37</c:f>
              <c:numCache/>
            </c:numRef>
          </c:val>
        </c:ser>
        <c:axId val="1028838588"/>
        <c:axId val="1243522767"/>
      </c:barChart>
      <c:catAx>
        <c:axId val="10288385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43522767"/>
      </c:catAx>
      <c:valAx>
        <c:axId val="12435227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028838588"/>
      </c:valAx>
    </c:plotArea>
  </c:chart>
</c:chartSpace>
</file>

<file path=xl/charts/chart38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39'!$P$11:$P$19</c:f>
            </c:strRef>
          </c:cat>
          <c:val>
            <c:numRef>
              <c:f>'State Representative, Dist 39'!$Q$11:$Q$19</c:f>
              <c:numCache/>
            </c:numRef>
          </c:val>
        </c:ser>
        <c:axId val="234274396"/>
        <c:axId val="578056692"/>
      </c:barChart>
      <c:catAx>
        <c:axId val="2342743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78056692"/>
      </c:catAx>
      <c:valAx>
        <c:axId val="5780566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4274396"/>
      </c:valAx>
    </c:plotArea>
  </c:chart>
</c:chartSpace>
</file>

<file path=xl/charts/chart38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39'!$P$23:$P$42</c:f>
            </c:strRef>
          </c:cat>
          <c:val>
            <c:numRef>
              <c:f>'State Representative, Dist 39'!$Q$23:$Q$42</c:f>
              <c:numCache/>
            </c:numRef>
          </c:val>
        </c:ser>
        <c:axId val="1231778009"/>
        <c:axId val="83385834"/>
      </c:barChart>
      <c:catAx>
        <c:axId val="12317780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3385834"/>
      </c:catAx>
      <c:valAx>
        <c:axId val="833858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1778009"/>
      </c:valAx>
    </c:plotArea>
  </c:chart>
</c:chartSpace>
</file>

<file path=xl/charts/chart38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39'!$P$46:$P$50</c:f>
            </c:strRef>
          </c:cat>
          <c:val>
            <c:numRef>
              <c:f>'State Representative, Dist 39'!$Q$46:$Q$50</c:f>
              <c:numCache/>
            </c:numRef>
          </c:val>
        </c:ser>
        <c:axId val="1297264748"/>
        <c:axId val="398244081"/>
      </c:barChart>
      <c:catAx>
        <c:axId val="12972647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98244081"/>
      </c:catAx>
      <c:valAx>
        <c:axId val="3982440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7264748"/>
      </c:valAx>
    </c:plotArea>
  </c:chart>
</c:chartSpace>
</file>

<file path=xl/charts/chart38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40'!$A$5:$A$9</c:f>
            </c:strRef>
          </c:cat>
          <c:val>
            <c:numRef>
              <c:f>'State Representative, Dist 40'!$B$5:$B$9</c:f>
              <c:numCache/>
            </c:numRef>
          </c:val>
        </c:ser>
        <c:axId val="146257528"/>
        <c:axId val="72735357"/>
      </c:barChart>
      <c:catAx>
        <c:axId val="1462575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2735357"/>
      </c:catAx>
      <c:valAx>
        <c:axId val="727353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6257528"/>
      </c:valAx>
    </c:plotArea>
  </c:chart>
</c:chartSpace>
</file>

<file path=xl/charts/chart38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40'!$A$15:$A$17</c:f>
            </c:strRef>
          </c:cat>
          <c:val>
            <c:numRef>
              <c:f>'State Representative, Dist 40'!$B$15:$B$17</c:f>
              <c:numCache/>
            </c:numRef>
          </c:val>
        </c:ser>
        <c:axId val="1943532814"/>
        <c:axId val="2134558026"/>
      </c:barChart>
      <c:catAx>
        <c:axId val="19435328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134558026"/>
      </c:catAx>
      <c:valAx>
        <c:axId val="21345580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43532814"/>
      </c:valAx>
    </c:plotArea>
  </c:chart>
</c:chartSpace>
</file>

<file path=xl/charts/chart38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(W)</a:t>
            </a:r>
          </a:p>
        </c:rich>
      </c:tx>
      <c:overlay val="0"/>
    </c:title>
    <c:plotArea>
      <c:layout/>
      <c:barChart>
        <c:barDir val="col"/>
        <c:ser>
          <c:idx val="0"/>
          <c:order val="0"/>
          <c:spPr>
            <a:solidFill>
              <a:schemeClr val="accent1"/>
            </a:solidFill>
            <a:ln cmpd="sng">
              <a:solidFill>
                <a:srgbClr val="000000"/>
              </a:solidFill>
            </a:ln>
          </c:spPr>
          <c:cat>
            <c:strRef>
              <c:f>'State Representative, Dist 40'!$A$23:$A$25</c:f>
            </c:strRef>
          </c:cat>
          <c:val>
            <c:numRef>
              <c:f>'State Representative, Dist 40'!$B$23:$B$25</c:f>
              <c:numCache/>
            </c:numRef>
          </c:val>
        </c:ser>
        <c:axId val="1267097850"/>
        <c:axId val="1037632323"/>
      </c:barChart>
      <c:catAx>
        <c:axId val="12670978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37632323"/>
      </c:catAx>
      <c:valAx>
        <c:axId val="10376323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67097850"/>
      </c:valAx>
    </c:plotArea>
  </c:chart>
</c:chartSpace>
</file>

<file path=xl/charts/chart39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40'!$A$33:$A$36</c:f>
            </c:strRef>
          </c:cat>
          <c:val>
            <c:numRef>
              <c:f>'State Representative, Dist 40'!$B$33:$B$36</c:f>
              <c:numCache/>
            </c:numRef>
          </c:val>
        </c:ser>
        <c:axId val="1809755338"/>
        <c:axId val="245947266"/>
      </c:barChart>
      <c:catAx>
        <c:axId val="18097553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45947266"/>
      </c:catAx>
      <c:valAx>
        <c:axId val="2459472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09755338"/>
      </c:valAx>
    </c:plotArea>
  </c:chart>
</c:chartSpace>
</file>

<file path=xl/charts/chart39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40'!$A$42:$A$46</c:f>
            </c:strRef>
          </c:cat>
          <c:val>
            <c:numRef>
              <c:f>'State Representative, Dist 40'!$B$42:$B$46</c:f>
              <c:numCache/>
            </c:numRef>
          </c:val>
        </c:ser>
        <c:axId val="925930508"/>
        <c:axId val="881214589"/>
      </c:barChart>
      <c:catAx>
        <c:axId val="9259305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81214589"/>
      </c:catAx>
      <c:valAx>
        <c:axId val="8812145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25930508"/>
      </c:valAx>
    </c:plotArea>
  </c:chart>
</c:chartSpace>
</file>

<file path=xl/charts/chart39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40'!$P$11:$P$19</c:f>
            </c:strRef>
          </c:cat>
          <c:val>
            <c:numRef>
              <c:f>'State Representative, Dist 40'!$Q$11:$Q$19</c:f>
              <c:numCache/>
            </c:numRef>
          </c:val>
        </c:ser>
        <c:axId val="1026065483"/>
        <c:axId val="394542443"/>
      </c:barChart>
      <c:catAx>
        <c:axId val="10260654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94542443"/>
      </c:catAx>
      <c:valAx>
        <c:axId val="3945424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6065483"/>
      </c:valAx>
    </c:plotArea>
  </c:chart>
</c:chartSpace>
</file>

<file path=xl/charts/chart39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40'!$P$23:$P$42</c:f>
            </c:strRef>
          </c:cat>
          <c:val>
            <c:numRef>
              <c:f>'State Representative, Dist 40'!$Q$23:$Q$42</c:f>
              <c:numCache/>
            </c:numRef>
          </c:val>
        </c:ser>
        <c:axId val="1765593254"/>
        <c:axId val="1740844510"/>
      </c:barChart>
      <c:catAx>
        <c:axId val="17655932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40844510"/>
      </c:catAx>
      <c:valAx>
        <c:axId val="17408445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5593254"/>
      </c:valAx>
    </c:plotArea>
  </c:chart>
</c:chartSpace>
</file>

<file path=xl/charts/chart39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40'!$P$46:$P$50</c:f>
            </c:strRef>
          </c:cat>
          <c:val>
            <c:numRef>
              <c:f>'State Representative, Dist 40'!$Q$46:$Q$50</c:f>
              <c:numCache/>
            </c:numRef>
          </c:val>
        </c:ser>
        <c:axId val="1624146802"/>
        <c:axId val="145673036"/>
      </c:barChart>
      <c:catAx>
        <c:axId val="16241468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5673036"/>
      </c:catAx>
      <c:valAx>
        <c:axId val="1456730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4146802"/>
      </c:valAx>
    </c:plotArea>
  </c:chart>
</c:chartSpace>
</file>

<file path=xl/charts/chart39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41'!$A$5:$A$7</c:f>
            </c:strRef>
          </c:cat>
          <c:val>
            <c:numRef>
              <c:f>'State Representative, Dist 41'!$B$5:$B$7</c:f>
              <c:numCache/>
            </c:numRef>
          </c:val>
        </c:ser>
        <c:axId val="1284552181"/>
        <c:axId val="1048938296"/>
      </c:barChart>
      <c:catAx>
        <c:axId val="12845521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48938296"/>
      </c:catAx>
      <c:valAx>
        <c:axId val="10489382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84552181"/>
      </c:valAx>
    </c:plotArea>
  </c:chart>
</c:chartSpace>
</file>

<file path=xl/charts/chart39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41'!$A$13:$A$15</c:f>
            </c:strRef>
          </c:cat>
          <c:val>
            <c:numRef>
              <c:f>'State Representative, Dist 41'!$B$13:$B$15</c:f>
              <c:numCache/>
            </c:numRef>
          </c:val>
        </c:ser>
        <c:axId val="763583293"/>
        <c:axId val="1575372158"/>
      </c:barChart>
      <c:catAx>
        <c:axId val="7635832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75372158"/>
      </c:catAx>
      <c:valAx>
        <c:axId val="15753721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63583293"/>
      </c:valAx>
    </c:plotArea>
  </c:chart>
</c:chartSpace>
</file>

<file path=xl/charts/chart39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41'!$A$23:$A$26</c:f>
            </c:strRef>
          </c:cat>
          <c:val>
            <c:numRef>
              <c:f>'State Representative, Dist 41'!$B$23:$B$26</c:f>
              <c:numCache/>
            </c:numRef>
          </c:val>
        </c:ser>
        <c:axId val="460320187"/>
        <c:axId val="91009291"/>
      </c:barChart>
      <c:catAx>
        <c:axId val="4603201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1009291"/>
      </c:catAx>
      <c:valAx>
        <c:axId val="91009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60320187"/>
      </c:valAx>
    </c:plotArea>
  </c:chart>
</c:chartSpace>
</file>

<file path=xl/charts/chart39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41'!$A$32:$A$34</c:f>
            </c:strRef>
          </c:cat>
          <c:val>
            <c:numRef>
              <c:f>'State Representative, Dist 41'!$B$32:$B$34</c:f>
              <c:numCache/>
            </c:numRef>
          </c:val>
        </c:ser>
        <c:axId val="1168261022"/>
        <c:axId val="1082370496"/>
      </c:barChart>
      <c:catAx>
        <c:axId val="11682610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82370496"/>
      </c:catAx>
      <c:valAx>
        <c:axId val="10823704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68261022"/>
      </c:valAx>
    </c:plotArea>
  </c:chart>
</c:chartSpace>
</file>

<file path=xl/charts/chart39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41'!$P$11:$P$19</c:f>
            </c:strRef>
          </c:cat>
          <c:val>
            <c:numRef>
              <c:f>'State Representative, Dist 41'!$Q$11:$Q$19</c:f>
              <c:numCache/>
            </c:numRef>
          </c:val>
        </c:ser>
        <c:axId val="1221405105"/>
        <c:axId val="1702270192"/>
      </c:barChart>
      <c:catAx>
        <c:axId val="12214051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02270192"/>
      </c:catAx>
      <c:valAx>
        <c:axId val="17022701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1405105"/>
      </c:valAx>
    </c:plotArea>
  </c:chart>
</c:chartSpace>
</file>

<file path=xl/charts/chart40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41'!$P$23:$P$42</c:f>
            </c:strRef>
          </c:cat>
          <c:val>
            <c:numRef>
              <c:f>'State Representative, Dist 41'!$Q$23:$Q$42</c:f>
              <c:numCache/>
            </c:numRef>
          </c:val>
        </c:ser>
        <c:axId val="1062228755"/>
        <c:axId val="1715137834"/>
      </c:barChart>
      <c:catAx>
        <c:axId val="10622287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15137834"/>
      </c:catAx>
      <c:valAx>
        <c:axId val="17151378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2228755"/>
      </c:valAx>
    </c:plotArea>
  </c:chart>
</c:chartSpace>
</file>

<file path=xl/charts/chart40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41'!$P$46:$P$50</c:f>
            </c:strRef>
          </c:cat>
          <c:val>
            <c:numRef>
              <c:f>'State Representative, Dist 41'!$Q$46:$Q$50</c:f>
              <c:numCache/>
            </c:numRef>
          </c:val>
        </c:ser>
        <c:axId val="646180365"/>
        <c:axId val="718133720"/>
      </c:barChart>
      <c:catAx>
        <c:axId val="6461803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718133720"/>
      </c:catAx>
      <c:valAx>
        <c:axId val="7181337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6180365"/>
      </c:valAx>
    </c:plotArea>
  </c:chart>
</c:chartSpace>
</file>

<file path=xl/charts/chart40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42'!$A$5:$A$7</c:f>
            </c:strRef>
          </c:cat>
          <c:val>
            <c:numRef>
              <c:f>'State Representative, Dist 42'!$B$5:$B$7</c:f>
              <c:numCache/>
            </c:numRef>
          </c:val>
        </c:ser>
        <c:axId val="1393214848"/>
        <c:axId val="1101771277"/>
      </c:barChart>
      <c:catAx>
        <c:axId val="13932148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01771277"/>
      </c:catAx>
      <c:valAx>
        <c:axId val="11017712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93214848"/>
      </c:valAx>
    </c:plotArea>
  </c:chart>
</c:chartSpace>
</file>

<file path=xl/charts/chart40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42'!$A$13:$A$17</c:f>
            </c:strRef>
          </c:cat>
          <c:val>
            <c:numRef>
              <c:f>'State Representative, Dist 42'!$B$13:$B$17</c:f>
              <c:numCache/>
            </c:numRef>
          </c:val>
        </c:ser>
        <c:axId val="454207821"/>
        <c:axId val="1601080800"/>
      </c:barChart>
      <c:catAx>
        <c:axId val="4542078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01080800"/>
      </c:catAx>
      <c:valAx>
        <c:axId val="16010808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54207821"/>
      </c:valAx>
    </c:plotArea>
  </c:chart>
</c:chartSpace>
</file>

<file path=xl/charts/chart40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42'!$A$25:$A$27</c:f>
            </c:strRef>
          </c:cat>
          <c:val>
            <c:numRef>
              <c:f>'State Representative, Dist 42'!$B$25:$B$27</c:f>
              <c:numCache/>
            </c:numRef>
          </c:val>
        </c:ser>
        <c:axId val="30772718"/>
        <c:axId val="1129262842"/>
      </c:barChart>
      <c:catAx>
        <c:axId val="307727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29262842"/>
      </c:catAx>
      <c:valAx>
        <c:axId val="1129262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0772718"/>
      </c:valAx>
    </c:plotArea>
  </c:chart>
</c:chartSpace>
</file>

<file path=xl/charts/chart40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42'!$A$33:$A$37</c:f>
            </c:strRef>
          </c:cat>
          <c:val>
            <c:numRef>
              <c:f>'State Representative, Dist 42'!$B$33:$B$37</c:f>
              <c:numCache/>
            </c:numRef>
          </c:val>
        </c:ser>
        <c:axId val="1975301861"/>
        <c:axId val="977452833"/>
      </c:barChart>
      <c:catAx>
        <c:axId val="19753018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77452833"/>
      </c:catAx>
      <c:valAx>
        <c:axId val="9774528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75301861"/>
      </c:valAx>
    </c:plotArea>
  </c:chart>
</c:chartSpace>
</file>

<file path=xl/charts/chart40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42'!$P$11:$P$19</c:f>
            </c:strRef>
          </c:cat>
          <c:val>
            <c:numRef>
              <c:f>'State Representative, Dist 42'!$Q$11:$Q$19</c:f>
              <c:numCache/>
            </c:numRef>
          </c:val>
        </c:ser>
        <c:axId val="734423856"/>
        <c:axId val="2073888178"/>
      </c:barChart>
      <c:catAx>
        <c:axId val="7344238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073888178"/>
      </c:catAx>
      <c:valAx>
        <c:axId val="20738881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4423856"/>
      </c:valAx>
    </c:plotArea>
  </c:chart>
</c:chartSpace>
</file>

<file path=xl/charts/chart40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42'!$P$23:$P$42</c:f>
            </c:strRef>
          </c:cat>
          <c:val>
            <c:numRef>
              <c:f>'State Representative, Dist 42'!$Q$23:$Q$42</c:f>
              <c:numCache/>
            </c:numRef>
          </c:val>
        </c:ser>
        <c:axId val="1365673849"/>
        <c:axId val="260851091"/>
      </c:barChart>
      <c:catAx>
        <c:axId val="13656738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60851091"/>
      </c:catAx>
      <c:valAx>
        <c:axId val="2608510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5673849"/>
      </c:valAx>
    </c:plotArea>
  </c:chart>
</c:chartSpace>
</file>

<file path=xl/charts/chart40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42'!$P$46:$P$50</c:f>
            </c:strRef>
          </c:cat>
          <c:val>
            <c:numRef>
              <c:f>'State Representative, Dist 42'!$Q$46:$Q$50</c:f>
              <c:numCache/>
            </c:numRef>
          </c:val>
        </c:ser>
        <c:axId val="358321926"/>
        <c:axId val="1515172319"/>
      </c:barChart>
      <c:catAx>
        <c:axId val="3583219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515172319"/>
      </c:catAx>
      <c:valAx>
        <c:axId val="15151723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8321926"/>
      </c:valAx>
    </c:plotArea>
  </c:chart>
</c:chartSpace>
</file>

<file path=xl/charts/chart40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43'!$A$5:$A$8</c:f>
            </c:strRef>
          </c:cat>
          <c:val>
            <c:numRef>
              <c:f>'State Representative, Dist 43'!$B$5:$B$8</c:f>
              <c:numCache/>
            </c:numRef>
          </c:val>
        </c:ser>
        <c:axId val="1758370246"/>
        <c:axId val="2004885751"/>
      </c:barChart>
      <c:catAx>
        <c:axId val="17583702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04885751"/>
      </c:catAx>
      <c:valAx>
        <c:axId val="20048857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58370246"/>
      </c:valAx>
    </c:plotArea>
  </c:chart>
</c:chartSpace>
</file>

<file path=xl/charts/chart4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43'!$A$16:$A$19</c:f>
            </c:strRef>
          </c:cat>
          <c:val>
            <c:numRef>
              <c:f>'State Representative, Dist 43'!$B$16:$B$19</c:f>
              <c:numCache/>
            </c:numRef>
          </c:val>
        </c:ser>
        <c:axId val="455828247"/>
        <c:axId val="868500100"/>
      </c:barChart>
      <c:catAx>
        <c:axId val="4558282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68500100"/>
      </c:catAx>
      <c:valAx>
        <c:axId val="8685001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55828247"/>
      </c:valAx>
    </c:plotArea>
  </c:chart>
</c:chartSpace>
</file>

<file path=xl/charts/chart4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43'!$A$25:$A$27</c:f>
            </c:strRef>
          </c:cat>
          <c:val>
            <c:numRef>
              <c:f>'State Representative, Dist 43'!$B$25:$B$27</c:f>
              <c:numCache/>
            </c:numRef>
          </c:val>
        </c:ser>
        <c:axId val="412067060"/>
        <c:axId val="1687656383"/>
      </c:barChart>
      <c:catAx>
        <c:axId val="4120670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87656383"/>
      </c:catAx>
      <c:valAx>
        <c:axId val="16876563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12067060"/>
      </c:valAx>
    </c:plotArea>
  </c:chart>
</c:chartSpace>
</file>

<file path=xl/charts/chart4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43'!$P$11:$P$19</c:f>
            </c:strRef>
          </c:cat>
          <c:val>
            <c:numRef>
              <c:f>'State Representative, Dist 43'!$Q$11:$Q$19</c:f>
              <c:numCache/>
            </c:numRef>
          </c:val>
        </c:ser>
        <c:axId val="1205478612"/>
        <c:axId val="1360265877"/>
      </c:barChart>
      <c:catAx>
        <c:axId val="12054786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60265877"/>
      </c:catAx>
      <c:valAx>
        <c:axId val="13602658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5478612"/>
      </c:valAx>
    </c:plotArea>
  </c:chart>
</c:chartSpace>
</file>

<file path=xl/charts/chart4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43'!$P$23:$P$42</c:f>
            </c:strRef>
          </c:cat>
          <c:val>
            <c:numRef>
              <c:f>'State Representative, Dist 43'!$Q$23:$Q$42</c:f>
              <c:numCache/>
            </c:numRef>
          </c:val>
        </c:ser>
        <c:axId val="832965740"/>
        <c:axId val="116188981"/>
      </c:barChart>
      <c:catAx>
        <c:axId val="8329657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6188981"/>
      </c:catAx>
      <c:valAx>
        <c:axId val="1161889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2965740"/>
      </c:valAx>
    </c:plotArea>
  </c:chart>
</c:chartSpace>
</file>

<file path=xl/charts/chart4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43'!$P$46:$P$50</c:f>
            </c:strRef>
          </c:cat>
          <c:val>
            <c:numRef>
              <c:f>'State Representative, Dist 43'!$Q$46:$Q$50</c:f>
              <c:numCache/>
            </c:numRef>
          </c:val>
        </c:ser>
        <c:axId val="624688956"/>
        <c:axId val="83831614"/>
      </c:barChart>
      <c:catAx>
        <c:axId val="6246889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3831614"/>
      </c:catAx>
      <c:valAx>
        <c:axId val="838316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4688956"/>
      </c:valAx>
    </c:plotArea>
  </c:chart>
</c:chartSpace>
</file>

<file path=xl/charts/chart4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44'!$A$5:$A$7</c:f>
            </c:strRef>
          </c:cat>
          <c:val>
            <c:numRef>
              <c:f>'State Representative, Dist 44'!$B$5:$B$7</c:f>
              <c:numCache/>
            </c:numRef>
          </c:val>
        </c:ser>
        <c:axId val="868277465"/>
        <c:axId val="614692207"/>
      </c:barChart>
      <c:catAx>
        <c:axId val="868277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14692207"/>
      </c:catAx>
      <c:valAx>
        <c:axId val="6146922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868277465"/>
      </c:valAx>
    </c:plotArea>
  </c:chart>
</c:chartSpace>
</file>

<file path=xl/charts/chart4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44'!$A$15:$A$17</c:f>
            </c:strRef>
          </c:cat>
          <c:val>
            <c:numRef>
              <c:f>'State Representative, Dist 44'!$B$15:$B$17</c:f>
              <c:numCache/>
            </c:numRef>
          </c:val>
        </c:ser>
        <c:axId val="828118962"/>
        <c:axId val="1515838972"/>
      </c:barChart>
      <c:catAx>
        <c:axId val="8281189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15838972"/>
      </c:catAx>
      <c:valAx>
        <c:axId val="15158389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828118962"/>
      </c:valAx>
    </c:plotArea>
  </c:chart>
</c:chartSpace>
</file>

<file path=xl/charts/chart4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44'!$A$23:$A$26</c:f>
            </c:strRef>
          </c:cat>
          <c:val>
            <c:numRef>
              <c:f>'State Representative, Dist 44'!$B$23:$B$26</c:f>
              <c:numCache/>
            </c:numRef>
          </c:val>
        </c:ser>
        <c:axId val="760950162"/>
        <c:axId val="1517965445"/>
      </c:barChart>
      <c:catAx>
        <c:axId val="7609501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17965445"/>
      </c:catAx>
      <c:valAx>
        <c:axId val="15179654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60950162"/>
      </c:valAx>
    </c:plotArea>
  </c:chart>
</c:chartSpace>
</file>

<file path=xl/charts/chart4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44'!$P$11:$P$19</c:f>
            </c:strRef>
          </c:cat>
          <c:val>
            <c:numRef>
              <c:f>'State Representative, Dist 44'!$Q$11:$Q$19</c:f>
              <c:numCache/>
            </c:numRef>
          </c:val>
        </c:ser>
        <c:axId val="1550338582"/>
        <c:axId val="1159317397"/>
      </c:barChart>
      <c:catAx>
        <c:axId val="15503385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59317397"/>
      </c:catAx>
      <c:valAx>
        <c:axId val="11593173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0338582"/>
      </c:valAx>
    </c:plotArea>
  </c:chart>
</c:chartSpace>
</file>

<file path=xl/charts/chart4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44'!$P$23:$P$42</c:f>
            </c:strRef>
          </c:cat>
          <c:val>
            <c:numRef>
              <c:f>'State Representative, Dist 44'!$Q$23:$Q$42</c:f>
              <c:numCache/>
            </c:numRef>
          </c:val>
        </c:ser>
        <c:axId val="1207162656"/>
        <c:axId val="540255591"/>
      </c:barChart>
      <c:catAx>
        <c:axId val="12071626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40255591"/>
      </c:catAx>
      <c:valAx>
        <c:axId val="540255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7162656"/>
      </c:valAx>
    </c:plotArea>
  </c:chart>
</c:chartSpace>
</file>

<file path=xl/charts/chart4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44'!$P$46:$P$50</c:f>
            </c:strRef>
          </c:cat>
          <c:val>
            <c:numRef>
              <c:f>'State Representative, Dist 44'!$Q$46:$Q$50</c:f>
              <c:numCache/>
            </c:numRef>
          </c:val>
        </c:ser>
        <c:axId val="1771762608"/>
        <c:axId val="256558137"/>
      </c:barChart>
      <c:catAx>
        <c:axId val="17717626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56558137"/>
      </c:catAx>
      <c:valAx>
        <c:axId val="2565581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1762608"/>
      </c:valAx>
    </c:plotArea>
  </c:chart>
</c:chartSpace>
</file>

<file path=xl/charts/chart4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45'!$A$5:$A$8</c:f>
            </c:strRef>
          </c:cat>
          <c:val>
            <c:numRef>
              <c:f>'State Representative, Dist 45'!$B$5:$B$8</c:f>
              <c:numCache/>
            </c:numRef>
          </c:val>
        </c:ser>
        <c:axId val="762351320"/>
        <c:axId val="1421196588"/>
      </c:barChart>
      <c:catAx>
        <c:axId val="7623513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421196588"/>
      </c:catAx>
      <c:valAx>
        <c:axId val="14211965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62351320"/>
      </c:valAx>
    </c:plotArea>
  </c:chart>
</c:chartSpace>
</file>

<file path=xl/charts/chart4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45'!$A$14:$A$19</c:f>
            </c:strRef>
          </c:cat>
          <c:val>
            <c:numRef>
              <c:f>'State Representative, Dist 45'!$B$14:$B$19</c:f>
              <c:numCache/>
            </c:numRef>
          </c:val>
        </c:ser>
        <c:axId val="1968740092"/>
        <c:axId val="2028807268"/>
      </c:barChart>
      <c:catAx>
        <c:axId val="19687400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28807268"/>
      </c:catAx>
      <c:valAx>
        <c:axId val="20288072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68740092"/>
      </c:valAx>
    </c:plotArea>
  </c:chart>
</c:chartSpace>
</file>

<file path=xl/charts/chart4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45'!$A$27:$A$31</c:f>
            </c:strRef>
          </c:cat>
          <c:val>
            <c:numRef>
              <c:f>'State Representative, Dist 45'!$B$27:$B$31</c:f>
              <c:numCache/>
            </c:numRef>
          </c:val>
        </c:ser>
        <c:axId val="516950392"/>
        <c:axId val="1098672009"/>
      </c:barChart>
      <c:catAx>
        <c:axId val="516950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98672009"/>
      </c:catAx>
      <c:valAx>
        <c:axId val="10986720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16950392"/>
      </c:valAx>
    </c:plotArea>
  </c:chart>
</c:chartSpace>
</file>

<file path=xl/charts/chart4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45'!$A$37:$A$40</c:f>
            </c:strRef>
          </c:cat>
          <c:val>
            <c:numRef>
              <c:f>'State Representative, Dist 45'!$B$37:$B$40</c:f>
              <c:numCache/>
            </c:numRef>
          </c:val>
        </c:ser>
        <c:axId val="70744234"/>
        <c:axId val="87241006"/>
      </c:barChart>
      <c:catAx>
        <c:axId val="70744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7241006"/>
      </c:catAx>
      <c:valAx>
        <c:axId val="87241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70744234"/>
      </c:valAx>
    </c:plotArea>
  </c:chart>
</c:chartSpace>
</file>

<file path=xl/charts/chart4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45'!$P$11:$P$19</c:f>
            </c:strRef>
          </c:cat>
          <c:val>
            <c:numRef>
              <c:f>'State Representative, Dist 45'!$Q$11:$Q$19</c:f>
              <c:numCache/>
            </c:numRef>
          </c:val>
        </c:ser>
        <c:axId val="551208931"/>
        <c:axId val="1850468703"/>
      </c:barChart>
      <c:catAx>
        <c:axId val="5512089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850468703"/>
      </c:catAx>
      <c:valAx>
        <c:axId val="18504687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1208931"/>
      </c:valAx>
    </c:plotArea>
  </c:chart>
</c:chartSpace>
</file>

<file path=xl/charts/chart4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45'!$P$23:$P$42</c:f>
            </c:strRef>
          </c:cat>
          <c:val>
            <c:numRef>
              <c:f>'State Representative, Dist 45'!$Q$23:$Q$42</c:f>
              <c:numCache/>
            </c:numRef>
          </c:val>
        </c:ser>
        <c:axId val="1200040749"/>
        <c:axId val="1296639187"/>
      </c:barChart>
      <c:catAx>
        <c:axId val="12000407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96639187"/>
      </c:catAx>
      <c:valAx>
        <c:axId val="12966391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0040749"/>
      </c:valAx>
    </c:plotArea>
  </c:chart>
</c:chartSpace>
</file>

<file path=xl/charts/chart4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45'!$P$46:$P$50</c:f>
            </c:strRef>
          </c:cat>
          <c:val>
            <c:numRef>
              <c:f>'State Representative, Dist 45'!$Q$46:$Q$50</c:f>
              <c:numCache/>
            </c:numRef>
          </c:val>
        </c:ser>
        <c:axId val="994580806"/>
        <c:axId val="448028216"/>
      </c:barChart>
      <c:catAx>
        <c:axId val="9945808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48028216"/>
      </c:catAx>
      <c:valAx>
        <c:axId val="4480282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4580806"/>
      </c:valAx>
    </c:plotArea>
  </c:chart>
</c:chartSpace>
</file>

<file path=xl/charts/chart4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46'!$A$5:$A$7</c:f>
            </c:strRef>
          </c:cat>
          <c:val>
            <c:numRef>
              <c:f>'State Representative, Dist 46'!$B$5:$B$7</c:f>
              <c:numCache/>
            </c:numRef>
          </c:val>
        </c:ser>
        <c:axId val="1273891382"/>
        <c:axId val="530349332"/>
      </c:barChart>
      <c:catAx>
        <c:axId val="12738913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30349332"/>
      </c:catAx>
      <c:valAx>
        <c:axId val="5303493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73891382"/>
      </c:valAx>
    </c:plotArea>
  </c:chart>
</c:chartSpace>
</file>

<file path=xl/charts/chart4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46'!$A$13:$A$16</c:f>
            </c:strRef>
          </c:cat>
          <c:val>
            <c:numRef>
              <c:f>'State Representative, Dist 46'!$B$13:$B$16</c:f>
              <c:numCache/>
            </c:numRef>
          </c:val>
        </c:ser>
        <c:axId val="615570535"/>
        <c:axId val="1602982654"/>
      </c:barChart>
      <c:catAx>
        <c:axId val="6155705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02982654"/>
      </c:catAx>
      <c:valAx>
        <c:axId val="16029826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15570535"/>
      </c:valAx>
    </c:plotArea>
  </c:chart>
</c:chartSpace>
</file>

<file path=xl/charts/chart4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46'!$A$24:$A$26</c:f>
            </c:strRef>
          </c:cat>
          <c:val>
            <c:numRef>
              <c:f>'State Representative, Dist 46'!$B$24:$B$26</c:f>
              <c:numCache/>
            </c:numRef>
          </c:val>
        </c:ser>
        <c:axId val="619357735"/>
        <c:axId val="1589286247"/>
      </c:barChart>
      <c:catAx>
        <c:axId val="6193577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89286247"/>
      </c:catAx>
      <c:valAx>
        <c:axId val="15892862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19357735"/>
      </c:valAx>
    </c:plotArea>
  </c:chart>
</c:chartSpace>
</file>

<file path=xl/charts/chart4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46'!$A$32:$A$35</c:f>
            </c:strRef>
          </c:cat>
          <c:val>
            <c:numRef>
              <c:f>'State Representative, Dist 46'!$B$32:$B$35</c:f>
              <c:numCache/>
            </c:numRef>
          </c:val>
        </c:ser>
        <c:axId val="641367911"/>
        <c:axId val="1184727787"/>
      </c:barChart>
      <c:catAx>
        <c:axId val="6413679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84727787"/>
      </c:catAx>
      <c:valAx>
        <c:axId val="1184727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41367911"/>
      </c:valAx>
    </c:plotArea>
  </c:chart>
</c:chartSpace>
</file>

<file path=xl/charts/chart4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46'!$P$11:$P$19</c:f>
            </c:strRef>
          </c:cat>
          <c:val>
            <c:numRef>
              <c:f>'State Representative, Dist 46'!$Q$11:$Q$19</c:f>
              <c:numCache/>
            </c:numRef>
          </c:val>
        </c:ser>
        <c:axId val="205054044"/>
        <c:axId val="273450966"/>
      </c:barChart>
      <c:catAx>
        <c:axId val="2050540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73450966"/>
      </c:catAx>
      <c:valAx>
        <c:axId val="2734509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054044"/>
      </c:valAx>
    </c:plotArea>
  </c:chart>
</c:chartSpace>
</file>

<file path=xl/charts/chart4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46'!$P$23:$P$42</c:f>
            </c:strRef>
          </c:cat>
          <c:val>
            <c:numRef>
              <c:f>'State Representative, Dist 46'!$Q$23:$Q$42</c:f>
              <c:numCache/>
            </c:numRef>
          </c:val>
        </c:ser>
        <c:axId val="1486542798"/>
        <c:axId val="173641372"/>
      </c:barChart>
      <c:catAx>
        <c:axId val="14865427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3641372"/>
      </c:catAx>
      <c:valAx>
        <c:axId val="1736413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6542798"/>
      </c:valAx>
    </c:plotArea>
  </c:chart>
</c:chartSpace>
</file>

<file path=xl/charts/chart4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46'!$P$46:$P$50</c:f>
            </c:strRef>
          </c:cat>
          <c:val>
            <c:numRef>
              <c:f>'State Representative, Dist 46'!$Q$46:$Q$50</c:f>
              <c:numCache/>
            </c:numRef>
          </c:val>
        </c:ser>
        <c:axId val="743207707"/>
        <c:axId val="604369470"/>
      </c:barChart>
      <c:catAx>
        <c:axId val="7432077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04369470"/>
      </c:catAx>
      <c:valAx>
        <c:axId val="6043694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3207707"/>
      </c:valAx>
    </c:plotArea>
  </c:chart>
</c:chartSpace>
</file>

<file path=xl/charts/chart4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47'!$A$5:$A$7</c:f>
            </c:strRef>
          </c:cat>
          <c:val>
            <c:numRef>
              <c:f>'State Representative, Dist 47'!$B$5:$B$7</c:f>
              <c:numCache/>
            </c:numRef>
          </c:val>
        </c:ser>
        <c:axId val="1500094791"/>
        <c:axId val="1968264163"/>
      </c:barChart>
      <c:catAx>
        <c:axId val="15000947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968264163"/>
      </c:catAx>
      <c:valAx>
        <c:axId val="19682641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00094791"/>
      </c:valAx>
    </c:plotArea>
  </c:chart>
</c:chartSpace>
</file>

<file path=xl/charts/chart4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47'!$A$13:$A$15</c:f>
            </c:strRef>
          </c:cat>
          <c:val>
            <c:numRef>
              <c:f>'State Representative, Dist 47'!$B$13:$B$15</c:f>
              <c:numCache/>
            </c:numRef>
          </c:val>
        </c:ser>
        <c:axId val="1253854183"/>
        <c:axId val="372374300"/>
      </c:barChart>
      <c:catAx>
        <c:axId val="12538541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72374300"/>
      </c:catAx>
      <c:valAx>
        <c:axId val="3723743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53854183"/>
      </c:valAx>
    </c:plotArea>
  </c:chart>
</c:chartSpace>
</file>

<file path=xl/charts/chart4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47'!$A$23:$A$25</c:f>
            </c:strRef>
          </c:cat>
          <c:val>
            <c:numRef>
              <c:f>'State Representative, Dist 47'!$B$23:$B$25</c:f>
              <c:numCache/>
            </c:numRef>
          </c:val>
        </c:ser>
        <c:axId val="1603266064"/>
        <c:axId val="193271455"/>
      </c:barChart>
      <c:catAx>
        <c:axId val="16032660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93271455"/>
      </c:catAx>
      <c:valAx>
        <c:axId val="1932714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603266064"/>
      </c:valAx>
    </c:plotArea>
  </c:chart>
</c:chartSpace>
</file>

<file path=xl/charts/chart4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47'!$A$31:$A$33</c:f>
            </c:strRef>
          </c:cat>
          <c:val>
            <c:numRef>
              <c:f>'State Representative, Dist 47'!$B$31:$B$33</c:f>
              <c:numCache/>
            </c:numRef>
          </c:val>
        </c:ser>
        <c:axId val="158123777"/>
        <c:axId val="1128754339"/>
      </c:barChart>
      <c:catAx>
        <c:axId val="1581237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128754339"/>
      </c:catAx>
      <c:valAx>
        <c:axId val="11287543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58123777"/>
      </c:valAx>
    </c:plotArea>
  </c:chart>
</c:chartSpace>
</file>

<file path=xl/charts/chart4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47'!$P$11:$P$19</c:f>
            </c:strRef>
          </c:cat>
          <c:val>
            <c:numRef>
              <c:f>'State Representative, Dist 47'!$Q$11:$Q$19</c:f>
              <c:numCache/>
            </c:numRef>
          </c:val>
        </c:ser>
        <c:axId val="303742852"/>
        <c:axId val="171266717"/>
      </c:barChart>
      <c:catAx>
        <c:axId val="3037428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1266717"/>
      </c:catAx>
      <c:valAx>
        <c:axId val="1712667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3742852"/>
      </c:valAx>
    </c:plotArea>
  </c:chart>
</c:chartSpace>
</file>

<file path=xl/charts/chart4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47'!$P$23:$P$42</c:f>
            </c:strRef>
          </c:cat>
          <c:val>
            <c:numRef>
              <c:f>'State Representative, Dist 47'!$Q$23:$Q$42</c:f>
              <c:numCache/>
            </c:numRef>
          </c:val>
        </c:ser>
        <c:axId val="1836730782"/>
        <c:axId val="2110488436"/>
      </c:barChart>
      <c:catAx>
        <c:axId val="1836730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110488436"/>
      </c:catAx>
      <c:valAx>
        <c:axId val="21104884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6730782"/>
      </c:valAx>
    </c:plotArea>
  </c:chart>
</c:chartSpace>
</file>

<file path=xl/charts/chart4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47'!$P$46:$P$50</c:f>
            </c:strRef>
          </c:cat>
          <c:val>
            <c:numRef>
              <c:f>'State Representative, Dist 47'!$Q$46:$Q$50</c:f>
              <c:numCache/>
            </c:numRef>
          </c:val>
        </c:ser>
        <c:axId val="1822789473"/>
        <c:axId val="1697430310"/>
      </c:barChart>
      <c:catAx>
        <c:axId val="18227894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97430310"/>
      </c:catAx>
      <c:valAx>
        <c:axId val="16974303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2789473"/>
      </c:valAx>
    </c:plotArea>
  </c:chart>
</c:chartSpace>
</file>

<file path=xl/charts/chart4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(Green)</a:t>
            </a:r>
          </a:p>
        </c:rich>
      </c:tx>
      <c:overlay val="0"/>
    </c:title>
    <c:plotArea>
      <c:layout/>
      <c:barChart>
        <c:barDir val="col"/>
        <c:ser>
          <c:idx val="0"/>
          <c:order val="0"/>
          <c:spPr>
            <a:solidFill>
              <a:schemeClr val="accent1"/>
            </a:solidFill>
            <a:ln cmpd="sng">
              <a:solidFill>
                <a:srgbClr val="000000"/>
              </a:solidFill>
            </a:ln>
          </c:spPr>
          <c:cat>
            <c:strRef>
              <c:f>'State Representative, Dist 48'!$A$5:$A$7</c:f>
            </c:strRef>
          </c:cat>
          <c:val>
            <c:numRef>
              <c:f>'State Representative, Dist 48'!$B$5:$B$7</c:f>
              <c:numCache/>
            </c:numRef>
          </c:val>
        </c:ser>
        <c:axId val="1804159636"/>
        <c:axId val="1791729393"/>
      </c:barChart>
      <c:catAx>
        <c:axId val="18041596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91729393"/>
      </c:catAx>
      <c:valAx>
        <c:axId val="17917293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804159636"/>
      </c:valAx>
    </c:plotArea>
  </c:chart>
</c:chartSpace>
</file>

<file path=xl/charts/chart4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48'!$A$13:$A$15</c:f>
            </c:strRef>
          </c:cat>
          <c:val>
            <c:numRef>
              <c:f>'State Representative, Dist 48'!$B$13:$B$15</c:f>
              <c:numCache/>
            </c:numRef>
          </c:val>
        </c:ser>
        <c:axId val="1900514580"/>
        <c:axId val="297623207"/>
      </c:barChart>
      <c:catAx>
        <c:axId val="19005145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97623207"/>
      </c:catAx>
      <c:valAx>
        <c:axId val="2976232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900514580"/>
      </c:valAx>
    </c:plotArea>
  </c:chart>
</c:chartSpace>
</file>

<file path=xl/charts/chart4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48'!$A$23:$A$25</c:f>
            </c:strRef>
          </c:cat>
          <c:val>
            <c:numRef>
              <c:f>'State Representative, Dist 48'!$B$23:$B$25</c:f>
              <c:numCache/>
            </c:numRef>
          </c:val>
        </c:ser>
        <c:axId val="1284212454"/>
        <c:axId val="1218007621"/>
      </c:barChart>
      <c:catAx>
        <c:axId val="12842124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18007621"/>
      </c:catAx>
      <c:valAx>
        <c:axId val="12180076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84212454"/>
      </c:valAx>
    </c:plotArea>
  </c:chart>
</c:chartSpace>
</file>

<file path=xl/charts/chart4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48'!$A$31:$A$33</c:f>
            </c:strRef>
          </c:cat>
          <c:val>
            <c:numRef>
              <c:f>'State Representative, Dist 48'!$B$31:$B$33</c:f>
              <c:numCache/>
            </c:numRef>
          </c:val>
        </c:ser>
        <c:axId val="506576148"/>
        <c:axId val="1279218190"/>
      </c:barChart>
      <c:catAx>
        <c:axId val="5065761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79218190"/>
      </c:catAx>
      <c:valAx>
        <c:axId val="12792181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06576148"/>
      </c:valAx>
    </c:plotArea>
  </c:chart>
</c:chartSpace>
</file>

<file path=xl/charts/chart4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48'!$P$11:$P$19</c:f>
            </c:strRef>
          </c:cat>
          <c:val>
            <c:numRef>
              <c:f>'State Representative, Dist 48'!$Q$11:$Q$19</c:f>
              <c:numCache/>
            </c:numRef>
          </c:val>
        </c:ser>
        <c:axId val="354358856"/>
        <c:axId val="1040666660"/>
      </c:barChart>
      <c:catAx>
        <c:axId val="3543588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40666660"/>
      </c:catAx>
      <c:valAx>
        <c:axId val="10406666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4358856"/>
      </c:valAx>
    </c:plotArea>
  </c:chart>
</c:chartSpace>
</file>

<file path=xl/charts/chart4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48'!$P$23:$P$42</c:f>
            </c:strRef>
          </c:cat>
          <c:val>
            <c:numRef>
              <c:f>'State Representative, Dist 48'!$Q$23:$Q$42</c:f>
              <c:numCache/>
            </c:numRef>
          </c:val>
        </c:ser>
        <c:axId val="1613153114"/>
        <c:axId val="586974630"/>
      </c:barChart>
      <c:catAx>
        <c:axId val="16131531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586974630"/>
      </c:catAx>
      <c:valAx>
        <c:axId val="5869746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3153114"/>
      </c:valAx>
    </c:plotArea>
  </c:chart>
</c:chartSpace>
</file>

<file path=xl/charts/chart4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48'!$P$46:$P$50</c:f>
            </c:strRef>
          </c:cat>
          <c:val>
            <c:numRef>
              <c:f>'State Representative, Dist 48'!$Q$46:$Q$50</c:f>
              <c:numCache/>
            </c:numRef>
          </c:val>
        </c:ser>
        <c:axId val="1797447018"/>
        <c:axId val="1457762170"/>
      </c:barChart>
      <c:catAx>
        <c:axId val="17974470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57762170"/>
      </c:catAx>
      <c:valAx>
        <c:axId val="14577621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7447018"/>
      </c:valAx>
    </c:plotArea>
  </c:chart>
</c:chartSpace>
</file>

<file path=xl/charts/chart4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49'!$A$5:$A$7</c:f>
            </c:strRef>
          </c:cat>
          <c:val>
            <c:numRef>
              <c:f>'State Representative, Dist 49'!$B$5:$B$7</c:f>
              <c:numCache/>
            </c:numRef>
          </c:val>
        </c:ser>
        <c:axId val="1478330409"/>
        <c:axId val="1743198478"/>
      </c:barChart>
      <c:catAx>
        <c:axId val="14783304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43198478"/>
      </c:catAx>
      <c:valAx>
        <c:axId val="17431984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478330409"/>
      </c:valAx>
    </c:plotArea>
  </c:chart>
</c:chartSpace>
</file>

<file path=xl/charts/chart4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49'!$A$13:$A$16</c:f>
            </c:strRef>
          </c:cat>
          <c:val>
            <c:numRef>
              <c:f>'State Representative, Dist 49'!$B$13:$B$16</c:f>
              <c:numCache/>
            </c:numRef>
          </c:val>
        </c:ser>
        <c:axId val="2010540466"/>
        <c:axId val="351414053"/>
      </c:barChart>
      <c:catAx>
        <c:axId val="20105404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351414053"/>
      </c:catAx>
      <c:valAx>
        <c:axId val="3514140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010540466"/>
      </c:valAx>
    </c:plotArea>
  </c:chart>
</c:chartSpace>
</file>

<file path=xl/charts/chart4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49'!$A$24:$A$26</c:f>
            </c:strRef>
          </c:cat>
          <c:val>
            <c:numRef>
              <c:f>'State Representative, Dist 49'!$B$24:$B$26</c:f>
              <c:numCache/>
            </c:numRef>
          </c:val>
        </c:ser>
        <c:axId val="1208620548"/>
        <c:axId val="883769614"/>
      </c:barChart>
      <c:catAx>
        <c:axId val="12086205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883769614"/>
      </c:catAx>
      <c:valAx>
        <c:axId val="8837696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208620548"/>
      </c:valAx>
    </c:plotArea>
  </c:chart>
</c:chartSpace>
</file>

<file path=xl/charts/chart4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49'!$A$32:$A$36</c:f>
            </c:strRef>
          </c:cat>
          <c:val>
            <c:numRef>
              <c:f>'State Representative, Dist 49'!$B$32:$B$36</c:f>
              <c:numCache/>
            </c:numRef>
          </c:val>
        </c:ser>
        <c:axId val="9379056"/>
        <c:axId val="1323700717"/>
      </c:barChart>
      <c:catAx>
        <c:axId val="93790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23700717"/>
      </c:catAx>
      <c:valAx>
        <c:axId val="13237007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379056"/>
      </c:valAx>
    </c:plotArea>
  </c:chart>
</c:chartSpace>
</file>

<file path=xl/charts/chart4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49'!$P$11:$P$19</c:f>
            </c:strRef>
          </c:cat>
          <c:val>
            <c:numRef>
              <c:f>'State Representative, Dist 49'!$Q$11:$Q$19</c:f>
              <c:numCache/>
            </c:numRef>
          </c:val>
        </c:ser>
        <c:axId val="707767248"/>
        <c:axId val="322677566"/>
      </c:barChart>
      <c:catAx>
        <c:axId val="7077672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22677566"/>
      </c:catAx>
      <c:valAx>
        <c:axId val="3226775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7767248"/>
      </c:valAx>
    </c:plotArea>
  </c:chart>
</c:chartSpace>
</file>

<file path=xl/charts/chart4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49'!$P$23:$P$42</c:f>
            </c:strRef>
          </c:cat>
          <c:val>
            <c:numRef>
              <c:f>'State Representative, Dist 49'!$Q$23:$Q$42</c:f>
              <c:numCache/>
            </c:numRef>
          </c:val>
        </c:ser>
        <c:axId val="1180909401"/>
        <c:axId val="37776992"/>
      </c:barChart>
      <c:catAx>
        <c:axId val="11809094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7776992"/>
      </c:catAx>
      <c:valAx>
        <c:axId val="37776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0909401"/>
      </c:valAx>
    </c:plotArea>
  </c:chart>
</c:chartSpace>
</file>

<file path=xl/charts/chart4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49'!$P$46:$P$50</c:f>
            </c:strRef>
          </c:cat>
          <c:val>
            <c:numRef>
              <c:f>'State Representative, Dist 49'!$Q$46:$Q$50</c:f>
              <c:numCache/>
            </c:numRef>
          </c:val>
        </c:ser>
        <c:axId val="593297565"/>
        <c:axId val="1276636941"/>
      </c:barChart>
      <c:catAx>
        <c:axId val="5932975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76636941"/>
      </c:catAx>
      <c:valAx>
        <c:axId val="12766369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3297565"/>
      </c:valAx>
    </c:plotArea>
  </c:chart>
</c:chartSpace>
</file>

<file path=xl/charts/chart4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50'!$A$5:$A$7</c:f>
            </c:strRef>
          </c:cat>
          <c:val>
            <c:numRef>
              <c:f>'State Representative, Dist 50'!$B$5:$B$7</c:f>
              <c:numCache/>
            </c:numRef>
          </c:val>
        </c:ser>
        <c:axId val="2055961098"/>
        <c:axId val="1708788923"/>
      </c:barChart>
      <c:catAx>
        <c:axId val="20559610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08788923"/>
      </c:catAx>
      <c:valAx>
        <c:axId val="17087889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055961098"/>
      </c:valAx>
    </c:plotArea>
  </c:chart>
</c:chartSpace>
</file>

<file path=xl/charts/chart4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50'!$A$13:$A$16</c:f>
            </c:strRef>
          </c:cat>
          <c:val>
            <c:numRef>
              <c:f>'State Representative, Dist 50'!$B$13:$B$16</c:f>
              <c:numCache/>
            </c:numRef>
          </c:val>
        </c:ser>
        <c:axId val="411965042"/>
        <c:axId val="740615682"/>
      </c:barChart>
      <c:catAx>
        <c:axId val="411965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40615682"/>
      </c:catAx>
      <c:valAx>
        <c:axId val="7406156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11965042"/>
      </c:valAx>
    </c:plotArea>
  </c:chart>
</c:chartSpace>
</file>

<file path=xl/charts/chart4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50'!$A$24:$A$26</c:f>
            </c:strRef>
          </c:cat>
          <c:val>
            <c:numRef>
              <c:f>'State Representative, Dist 50'!$B$24:$B$26</c:f>
              <c:numCache/>
            </c:numRef>
          </c:val>
        </c:ser>
        <c:axId val="683542777"/>
        <c:axId val="67346457"/>
      </c:barChart>
      <c:catAx>
        <c:axId val="6835427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67346457"/>
      </c:catAx>
      <c:valAx>
        <c:axId val="673464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83542777"/>
      </c:valAx>
    </c:plotArea>
  </c:chart>
</c:chartSpace>
</file>

<file path=xl/charts/chart4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50'!$A$32:$A$37</c:f>
            </c:strRef>
          </c:cat>
          <c:val>
            <c:numRef>
              <c:f>'State Representative, Dist 50'!$B$32:$B$37</c:f>
              <c:numCache/>
            </c:numRef>
          </c:val>
        </c:ser>
        <c:axId val="263951951"/>
        <c:axId val="1887524369"/>
      </c:barChart>
      <c:catAx>
        <c:axId val="2639519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887524369"/>
      </c:catAx>
      <c:valAx>
        <c:axId val="18875243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63951951"/>
      </c:valAx>
    </c:plotArea>
  </c:chart>
</c:chartSpace>
</file>

<file path=xl/charts/chart4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50'!$P$11:$P$19</c:f>
            </c:strRef>
          </c:cat>
          <c:val>
            <c:numRef>
              <c:f>'State Representative, Dist 50'!$Q$11:$Q$19</c:f>
              <c:numCache/>
            </c:numRef>
          </c:val>
        </c:ser>
        <c:axId val="425287861"/>
        <c:axId val="1001379930"/>
      </c:barChart>
      <c:catAx>
        <c:axId val="4252878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001379930"/>
      </c:catAx>
      <c:valAx>
        <c:axId val="10013799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5287861"/>
      </c:valAx>
    </c:plotArea>
  </c:chart>
</c:chartSpace>
</file>

<file path=xl/charts/chart4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50'!$P$23:$P$42</c:f>
            </c:strRef>
          </c:cat>
          <c:val>
            <c:numRef>
              <c:f>'State Representative, Dist 50'!$Q$23:$Q$42</c:f>
              <c:numCache/>
            </c:numRef>
          </c:val>
        </c:ser>
        <c:axId val="991175312"/>
        <c:axId val="985799644"/>
      </c:barChart>
      <c:catAx>
        <c:axId val="9911753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85799644"/>
      </c:catAx>
      <c:valAx>
        <c:axId val="9857996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1175312"/>
      </c:valAx>
    </c:plotArea>
  </c:chart>
</c:chartSpace>
</file>

<file path=xl/charts/chart46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50'!$P$46:$P$50</c:f>
            </c:strRef>
          </c:cat>
          <c:val>
            <c:numRef>
              <c:f>'State Representative, Dist 50'!$Q$46:$Q$50</c:f>
              <c:numCache/>
            </c:numRef>
          </c:val>
        </c:ser>
        <c:axId val="2062186213"/>
        <c:axId val="33630325"/>
      </c:barChart>
      <c:catAx>
        <c:axId val="20621862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33630325"/>
      </c:catAx>
      <c:valAx>
        <c:axId val="336303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2186213"/>
      </c:valAx>
    </c:plotArea>
  </c:chart>
</c:chartSpace>
</file>

<file path=xl/charts/chart46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'State Representative, Dist 51'!$A$5:$A$8</c:f>
            </c:strRef>
          </c:cat>
          <c:val>
            <c:numRef>
              <c:f>'State Representative, Dist 51'!$B$5:$B$8</c:f>
              <c:numCache/>
            </c:numRef>
          </c:val>
        </c:ser>
        <c:axId val="1325242671"/>
        <c:axId val="1643808222"/>
      </c:barChart>
      <c:catAx>
        <c:axId val="13252426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43808222"/>
      </c:catAx>
      <c:valAx>
        <c:axId val="16438082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25242671"/>
      </c:valAx>
    </c:plotArea>
  </c:chart>
</c:chartSpace>
</file>

<file path=xl/charts/chart46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'State Representative, Dist 51'!$A$16:$A$18</c:f>
            </c:strRef>
          </c:cat>
          <c:val>
            <c:numRef>
              <c:f>'State Representative, Dist 51'!$B$16:$B$18</c:f>
              <c:numCache/>
            </c:numRef>
          </c:val>
        </c:ser>
        <c:axId val="1199686083"/>
        <c:axId val="1342163037"/>
      </c:barChart>
      <c:catAx>
        <c:axId val="11996860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42163037"/>
      </c:catAx>
      <c:valAx>
        <c:axId val="13421630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99686083"/>
      </c:valAx>
    </c:plotArea>
  </c:chart>
</c:chartSpace>
</file>

<file path=xl/charts/chart46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spPr>
            <a:solidFill>
              <a:srgbClr val="4285F4"/>
            </a:solidFill>
            <a:ln cmpd="sng">
              <a:solidFill>
                <a:srgbClr val="000000"/>
              </a:solidFill>
            </a:ln>
          </c:spPr>
          <c:cat>
            <c:strRef>
              <c:f>'State Representative, Dist 51'!$P$11:$P$19</c:f>
            </c:strRef>
          </c:cat>
          <c:val>
            <c:numRef>
              <c:f>'State Representative, Dist 51'!$Q$11:$Q$19</c:f>
              <c:numCache/>
            </c:numRef>
          </c:val>
        </c:ser>
        <c:axId val="711453788"/>
        <c:axId val="1561794490"/>
      </c:barChart>
      <c:catAx>
        <c:axId val="7114537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561794490"/>
      </c:catAx>
      <c:valAx>
        <c:axId val="15617944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1453788"/>
      </c:valAx>
    </c:plotArea>
  </c:chart>
</c:chartSpace>
</file>

<file path=xl/charts/chart46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spPr>
            <a:solidFill>
              <a:srgbClr val="4285F4"/>
            </a:solidFill>
            <a:ln cmpd="sng">
              <a:solidFill>
                <a:srgbClr val="000000"/>
              </a:solidFill>
            </a:ln>
          </c:spPr>
          <c:cat>
            <c:strRef>
              <c:f>'State Representative, Dist 51'!$P$23:$P$42</c:f>
            </c:strRef>
          </c:cat>
          <c:val>
            <c:numRef>
              <c:f>'State Representative, Dist 51'!$Q$23:$Q$42</c:f>
              <c:numCache/>
            </c:numRef>
          </c:val>
        </c:ser>
        <c:axId val="1327352183"/>
        <c:axId val="438615333"/>
      </c:barChart>
      <c:catAx>
        <c:axId val="13273521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38615333"/>
      </c:catAx>
      <c:valAx>
        <c:axId val="4386153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7352183"/>
      </c:valAx>
    </c:plotArea>
  </c:chart>
</c:chartSpace>
</file>

<file path=xl/charts/chart46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spPr>
            <a:solidFill>
              <a:srgbClr val="4285F4"/>
            </a:solidFill>
            <a:ln cmpd="sng">
              <a:solidFill>
                <a:srgbClr val="000000"/>
              </a:solidFill>
            </a:ln>
          </c:spPr>
          <c:cat>
            <c:strRef>
              <c:f>'State Representative, Dist 51'!$P$46:$P$50</c:f>
            </c:strRef>
          </c:cat>
          <c:val>
            <c:numRef>
              <c:f>'State Representative, Dist 51'!$Q$46:$Q$50</c:f>
              <c:numCache/>
            </c:numRef>
          </c:val>
        </c:ser>
        <c:axId val="1681685615"/>
        <c:axId val="159722328"/>
      </c:barChart>
      <c:catAx>
        <c:axId val="16816856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59722328"/>
      </c:catAx>
      <c:valAx>
        <c:axId val="1597223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1685615"/>
      </c:valAx>
    </c:plotArea>
  </c:chart>
</c:chartSpace>
</file>

<file path=xl/charts/chart46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(Green)</a:t>
            </a:r>
          </a:p>
        </c:rich>
      </c:tx>
      <c:overlay val="0"/>
    </c:title>
    <c:plotArea>
      <c:layout/>
      <c:barChart>
        <c:barDir val="col"/>
        <c:ser>
          <c:idx val="0"/>
          <c:order val="0"/>
          <c:spPr>
            <a:solidFill>
              <a:schemeClr val="accent1"/>
            </a:solidFill>
            <a:ln cmpd="sng">
              <a:solidFill>
                <a:srgbClr val="000000"/>
              </a:solidFill>
            </a:ln>
          </c:spPr>
          <c:cat>
            <c:strRef>
              <c:f>'U.S. Senator'!$A$5:$A$7</c:f>
            </c:strRef>
          </c:cat>
          <c:val>
            <c:numRef>
              <c:f>'U.S. Senator'!$B$5:$B$7</c:f>
              <c:numCache/>
            </c:numRef>
          </c:val>
        </c:ser>
        <c:axId val="580926443"/>
        <c:axId val="176364300"/>
      </c:barChart>
      <c:catAx>
        <c:axId val="5809264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6364300"/>
      </c:catAx>
      <c:valAx>
        <c:axId val="1763643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80926443"/>
      </c:valAx>
    </c:plotArea>
  </c:chart>
</c:chartSpace>
</file>

<file path=xl/charts/chart46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'U.S. Senator'!$A$13:$A$20</c:f>
            </c:strRef>
          </c:cat>
          <c:val>
            <c:numRef>
              <c:f>'U.S. Senator'!$B$13:$B$20</c:f>
              <c:numCache/>
            </c:numRef>
          </c:val>
        </c:ser>
        <c:axId val="905930587"/>
        <c:axId val="1230366013"/>
      </c:barChart>
      <c:catAx>
        <c:axId val="9059305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30366013"/>
      </c:catAx>
      <c:valAx>
        <c:axId val="12303660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05930587"/>
      </c:valAx>
    </c:plotArea>
  </c:chart>
</c:chartSpace>
</file>

<file path=xl/charts/chart47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'U.S. Senator'!$A$26:$A$30</c:f>
            </c:strRef>
          </c:cat>
          <c:val>
            <c:numRef>
              <c:f>'U.S. Senator'!$B$26:$B$30</c:f>
              <c:numCache/>
            </c:numRef>
          </c:val>
        </c:ser>
        <c:axId val="62639184"/>
        <c:axId val="509112028"/>
      </c:barChart>
      <c:catAx>
        <c:axId val="626391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09112028"/>
      </c:catAx>
      <c:valAx>
        <c:axId val="5091120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62639184"/>
      </c:valAx>
    </c:plotArea>
  </c:chart>
</c:chartSpace>
</file>

<file path=xl/charts/chart47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(N)</a:t>
            </a:r>
          </a:p>
        </c:rich>
      </c:tx>
      <c:overlay val="0"/>
    </c:title>
    <c:plotArea>
      <c:layout/>
      <c:barChart>
        <c:barDir val="col"/>
        <c:ser>
          <c:idx val="0"/>
          <c:order val="0"/>
          <c:spPr>
            <a:solidFill>
              <a:schemeClr val="accent1"/>
            </a:solidFill>
            <a:ln cmpd="sng">
              <a:solidFill>
                <a:srgbClr val="000000"/>
              </a:solidFill>
            </a:ln>
          </c:spPr>
          <c:cat>
            <c:strRef>
              <c:f>'U.S. Senator'!$A$36:$A$38</c:f>
            </c:strRef>
          </c:cat>
          <c:val>
            <c:numRef>
              <c:f>'U.S. Senator'!$B$36:$B$38</c:f>
              <c:numCache/>
            </c:numRef>
          </c:val>
        </c:ser>
        <c:axId val="367716325"/>
        <c:axId val="129538791"/>
      </c:barChart>
      <c:catAx>
        <c:axId val="3677163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9538791"/>
      </c:catAx>
      <c:valAx>
        <c:axId val="1295387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67716325"/>
      </c:valAx>
    </c:plotArea>
  </c:chart>
</c:chartSpace>
</file>

<file path=xl/charts/chart47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(W)</a:t>
            </a:r>
          </a:p>
        </c:rich>
      </c:tx>
      <c:overlay val="0"/>
    </c:title>
    <c:plotArea>
      <c:layout/>
      <c:barChart>
        <c:barDir val="col"/>
        <c:ser>
          <c:idx val="0"/>
          <c:order val="0"/>
          <c:spPr>
            <a:solidFill>
              <a:schemeClr val="accent1"/>
            </a:solidFill>
            <a:ln cmpd="sng">
              <a:solidFill>
                <a:srgbClr val="000000"/>
              </a:solidFill>
            </a:ln>
          </c:spPr>
          <c:cat>
            <c:strRef>
              <c:f>'U.S. Senator'!$A$44:$A$46</c:f>
            </c:strRef>
          </c:cat>
          <c:val>
            <c:numRef>
              <c:f>'U.S. Senator'!$B$44:$B$46</c:f>
              <c:numCache/>
            </c:numRef>
          </c:val>
        </c:ser>
        <c:axId val="2114315555"/>
        <c:axId val="51997884"/>
      </c:barChart>
      <c:catAx>
        <c:axId val="21143155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1997884"/>
      </c:catAx>
      <c:valAx>
        <c:axId val="519978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114315555"/>
      </c:valAx>
    </c:plotArea>
  </c:chart>
</c:chartSpace>
</file>

<file path=xl/charts/chart47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(Green)</a:t>
            </a:r>
          </a:p>
        </c:rich>
      </c:tx>
      <c:overlay val="0"/>
    </c:title>
    <c:plotArea>
      <c:layout/>
      <c:barChart>
        <c:barDir val="col"/>
        <c:ser>
          <c:idx val="0"/>
          <c:order val="0"/>
          <c:spPr>
            <a:solidFill>
              <a:schemeClr val="accent1"/>
            </a:solidFill>
            <a:ln cmpd="sng">
              <a:solidFill>
                <a:srgbClr val="000000"/>
              </a:solidFill>
            </a:ln>
          </c:spPr>
          <c:cat>
            <c:strRef>
              <c:f>'U.S. Senator'!$A$54:$A$56</c:f>
            </c:strRef>
          </c:cat>
          <c:val>
            <c:numRef>
              <c:f>'U.S. Senator'!$B$54:$B$56</c:f>
              <c:numCache/>
            </c:numRef>
          </c:val>
        </c:ser>
        <c:axId val="270502192"/>
        <c:axId val="965969479"/>
      </c:barChart>
      <c:catAx>
        <c:axId val="2705021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965969479"/>
      </c:catAx>
      <c:valAx>
        <c:axId val="965969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70502192"/>
      </c:valAx>
    </c:plotArea>
  </c:chart>
</c:chartSpace>
</file>

<file path=xl/charts/chart47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(A)</a:t>
            </a:r>
          </a:p>
        </c:rich>
      </c:tx>
      <c:overlay val="0"/>
    </c:title>
    <c:plotArea>
      <c:layout/>
      <c:barChart>
        <c:barDir val="col"/>
        <c:ser>
          <c:idx val="0"/>
          <c:order val="0"/>
          <c:spPr>
            <a:solidFill>
              <a:schemeClr val="accent1"/>
            </a:solidFill>
            <a:ln cmpd="sng">
              <a:solidFill>
                <a:srgbClr val="000000"/>
              </a:solidFill>
            </a:ln>
          </c:spPr>
          <c:cat>
            <c:strRef>
              <c:f>'U.S. Senator'!$A$62:$A$64</c:f>
            </c:strRef>
          </c:cat>
          <c:val>
            <c:numRef>
              <c:f>'U.S. Senator'!$B$62:$B$64</c:f>
              <c:numCache/>
            </c:numRef>
          </c:val>
        </c:ser>
        <c:axId val="179493299"/>
        <c:axId val="526376076"/>
      </c:barChart>
      <c:catAx>
        <c:axId val="1794932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26376076"/>
      </c:catAx>
      <c:valAx>
        <c:axId val="5263760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79493299"/>
      </c:valAx>
    </c:plotArea>
  </c:chart>
</c:chartSpace>
</file>

<file path=xl/charts/chart47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'U.S. Senator'!$A$70:$A$76</c:f>
            </c:strRef>
          </c:cat>
          <c:val>
            <c:numRef>
              <c:f>'U.S. Senator'!$B$70:$B$76</c:f>
              <c:numCache/>
            </c:numRef>
          </c:val>
        </c:ser>
        <c:axId val="859573859"/>
        <c:axId val="1000747058"/>
      </c:barChart>
      <c:catAx>
        <c:axId val="8595738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00747058"/>
      </c:catAx>
      <c:valAx>
        <c:axId val="10007470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859573859"/>
      </c:valAx>
    </c:plotArea>
  </c:chart>
</c:chartSpace>
</file>

<file path=xl/charts/chart47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(L)</a:t>
            </a:r>
          </a:p>
        </c:rich>
      </c:tx>
      <c:overlay val="0"/>
    </c:title>
    <c:plotArea>
      <c:layout/>
      <c:barChart>
        <c:barDir val="col"/>
        <c:ser>
          <c:idx val="0"/>
          <c:order val="0"/>
          <c:spPr>
            <a:solidFill>
              <a:schemeClr val="accent1"/>
            </a:solidFill>
            <a:ln cmpd="sng">
              <a:solidFill>
                <a:srgbClr val="000000"/>
              </a:solidFill>
            </a:ln>
          </c:spPr>
          <c:cat>
            <c:strRef>
              <c:f>'U.S. Senator'!$A$82:$A$84</c:f>
            </c:strRef>
          </c:cat>
          <c:val>
            <c:numRef>
              <c:f>'U.S. Senator'!$B$82:$B$84</c:f>
              <c:numCache/>
            </c:numRef>
          </c:val>
        </c:ser>
        <c:axId val="972985726"/>
        <c:axId val="1224671394"/>
      </c:barChart>
      <c:catAx>
        <c:axId val="9729857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24671394"/>
      </c:catAx>
      <c:valAx>
        <c:axId val="12246713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972985726"/>
      </c:valAx>
    </c:plotArea>
  </c:chart>
</c:chartSpace>
</file>

<file path=xl/charts/chart47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'U.S. Senator'!$A$90:$A$93</c:f>
            </c:strRef>
          </c:cat>
          <c:val>
            <c:numRef>
              <c:f>'U.S. Senator'!$B$90:$B$93</c:f>
              <c:numCache/>
            </c:numRef>
          </c:val>
        </c:ser>
        <c:axId val="326917582"/>
        <c:axId val="786614541"/>
      </c:barChart>
      <c:catAx>
        <c:axId val="3269175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86614541"/>
      </c:catAx>
      <c:valAx>
        <c:axId val="7866145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26917582"/>
      </c:valAx>
    </c:plotArea>
  </c:chart>
</c:chartSpace>
</file>

<file path=xl/charts/chart47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cat>
            <c:strRef>
              <c:f>'U.S. Senator'!$M$11:$M$19</c:f>
            </c:strRef>
          </c:cat>
          <c:val>
            <c:numRef>
              <c:f>'U.S. Senator'!$N$11:$N$19</c:f>
              <c:numCache/>
            </c:numRef>
          </c:val>
        </c:ser>
        <c:axId val="2060561860"/>
        <c:axId val="1264075619"/>
      </c:barChart>
      <c:catAx>
        <c:axId val="2060561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64075619"/>
      </c:catAx>
      <c:valAx>
        <c:axId val="1264075619"/>
        <c:scaling>
          <c:orientation val="minMax"/>
        </c:scaling>
        <c:delete val="0"/>
        <c:axPos val="l"/>
        <c:tickLblPos val="nextTo"/>
        <c:spPr>
          <a:ln>
            <a:noFill/>
          </a:ln>
        </c:spPr>
        <c:crossAx val="2060561860"/>
      </c:valAx>
    </c:plotArea>
  </c:chart>
</c:chartSpace>
</file>

<file path=xl/charts/chart47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cat>
            <c:strRef>
              <c:f>'U.S. Senator'!$M$23:$M$42</c:f>
            </c:strRef>
          </c:cat>
          <c:val>
            <c:numRef>
              <c:f>'U.S. Senator'!$N$23:$N$42</c:f>
              <c:numCache/>
            </c:numRef>
          </c:val>
        </c:ser>
        <c:axId val="949097271"/>
        <c:axId val="146000852"/>
      </c:barChart>
      <c:catAx>
        <c:axId val="9490972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46000852"/>
      </c:catAx>
      <c:valAx>
        <c:axId val="146000852"/>
        <c:scaling>
          <c:orientation val="minMax"/>
        </c:scaling>
        <c:delete val="0"/>
        <c:axPos val="l"/>
        <c:tickLblPos val="nextTo"/>
        <c:spPr>
          <a:ln>
            <a:noFill/>
          </a:ln>
        </c:spPr>
        <c:crossAx val="949097271"/>
      </c:valAx>
    </c:plotArea>
  </c:chart>
</c:chartSpace>
</file>

<file path=xl/charts/chart48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cat>
            <c:strRef>
              <c:f>'U.S. Senator'!$M$46:$M$50</c:f>
            </c:strRef>
          </c:cat>
          <c:val>
            <c:numRef>
              <c:f>'U.S. Senator'!$N$46:$N$50</c:f>
              <c:numCache/>
            </c:numRef>
          </c:val>
        </c:ser>
        <c:axId val="1824632741"/>
        <c:axId val="94862227"/>
      </c:barChart>
      <c:catAx>
        <c:axId val="18246327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4862227"/>
      </c:catAx>
      <c:valAx>
        <c:axId val="94862227"/>
        <c:scaling>
          <c:orientation val="minMax"/>
        </c:scaling>
        <c:delete val="0"/>
        <c:axPos val="l"/>
        <c:tickLblPos val="nextTo"/>
        <c:spPr>
          <a:ln>
            <a:noFill/>
          </a:ln>
        </c:spPr>
        <c:crossAx val="1824632741"/>
      </c:valAx>
    </c:plotArea>
  </c:chart>
</c:chartSpace>
</file>

<file path=xl/charts/chart48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'U.S. Representative, Dist I'!$A$5:$A$7</c:f>
            </c:strRef>
          </c:cat>
          <c:val>
            <c:numRef>
              <c:f>'U.S. Representative, Dist I'!$B$5:$B$7</c:f>
              <c:numCache/>
            </c:numRef>
          </c:val>
        </c:ser>
        <c:axId val="440872720"/>
        <c:axId val="1073446317"/>
      </c:barChart>
      <c:catAx>
        <c:axId val="4408727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73446317"/>
      </c:catAx>
      <c:valAx>
        <c:axId val="10734463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40872720"/>
      </c:valAx>
    </c:plotArea>
  </c:chart>
</c:chartSpace>
</file>

<file path=xl/charts/chart48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'U.S. Representative, Dist I'!$A$13:$A$16</c:f>
            </c:strRef>
          </c:cat>
          <c:val>
            <c:numRef>
              <c:f>'U.S. Representative, Dist I'!$B$13:$B$16</c:f>
              <c:numCache/>
            </c:numRef>
          </c:val>
        </c:ser>
        <c:axId val="340598199"/>
        <c:axId val="744263382"/>
      </c:barChart>
      <c:catAx>
        <c:axId val="3405981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44263382"/>
      </c:catAx>
      <c:valAx>
        <c:axId val="7442633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40598199"/>
      </c:valAx>
    </c:plotArea>
  </c:chart>
</c:chartSpace>
</file>

<file path=xl/charts/chart48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(N)</a:t>
            </a:r>
          </a:p>
        </c:rich>
      </c:tx>
      <c:overlay val="0"/>
    </c:title>
    <c:plotArea>
      <c:layout/>
      <c:barChart>
        <c:barDir val="col"/>
        <c:ser>
          <c:idx val="0"/>
          <c:order val="0"/>
          <c:spPr>
            <a:solidFill>
              <a:schemeClr val="accent1"/>
            </a:solidFill>
            <a:ln cmpd="sng">
              <a:solidFill>
                <a:srgbClr val="000000"/>
              </a:solidFill>
            </a:ln>
          </c:spPr>
          <c:cat>
            <c:strRef>
              <c:f>'U.S. Representative, Dist I'!$A$22:$A$24</c:f>
            </c:strRef>
          </c:cat>
          <c:val>
            <c:numRef>
              <c:f>'U.S. Representative, Dist I'!$B$22:$B$24</c:f>
              <c:numCache/>
            </c:numRef>
          </c:val>
        </c:ser>
        <c:axId val="505182265"/>
        <c:axId val="2029729403"/>
      </c:barChart>
      <c:catAx>
        <c:axId val="505182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2029729403"/>
      </c:catAx>
      <c:valAx>
        <c:axId val="20297294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505182265"/>
      </c:valAx>
    </c:plotArea>
  </c:chart>
</c:chartSpace>
</file>

<file path=xl/charts/chart48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(N)</a:t>
            </a:r>
          </a:p>
        </c:rich>
      </c:tx>
      <c:overlay val="0"/>
    </c:title>
    <c:plotArea>
      <c:layout/>
      <c:barChart>
        <c:barDir val="col"/>
        <c:ser>
          <c:idx val="0"/>
          <c:order val="0"/>
          <c:spPr>
            <a:solidFill>
              <a:schemeClr val="accent1"/>
            </a:solidFill>
            <a:ln cmpd="sng">
              <a:solidFill>
                <a:srgbClr val="000000"/>
              </a:solidFill>
            </a:ln>
          </c:spPr>
          <c:cat>
            <c:strRef>
              <c:f>'U.S. Representative, Dist I'!$A$32:$A$35</c:f>
            </c:strRef>
          </c:cat>
          <c:val>
            <c:numRef>
              <c:f>'U.S. Representative, Dist I'!$B$32:$B$35</c:f>
              <c:numCache/>
            </c:numRef>
          </c:val>
        </c:ser>
        <c:axId val="398319310"/>
        <c:axId val="1528655763"/>
      </c:barChart>
      <c:catAx>
        <c:axId val="3983193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528655763"/>
      </c:catAx>
      <c:valAx>
        <c:axId val="15286557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398319310"/>
      </c:valAx>
    </c:plotArea>
  </c:chart>
</c:chartSpace>
</file>

<file path=xl/charts/chart48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'U.S. Representative, Dist I'!$A$41:$A$45</c:f>
            </c:strRef>
          </c:cat>
          <c:val>
            <c:numRef>
              <c:f>'U.S. Representative, Dist I'!$B$41:$B$45</c:f>
              <c:numCache/>
            </c:numRef>
          </c:val>
        </c:ser>
        <c:axId val="452248290"/>
        <c:axId val="1923532020"/>
      </c:barChart>
      <c:catAx>
        <c:axId val="4522482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923532020"/>
      </c:catAx>
      <c:valAx>
        <c:axId val="19235320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452248290"/>
      </c:valAx>
    </c:plotArea>
  </c:chart>
</c:chartSpace>
</file>

<file path=xl/charts/chart48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(Democratic)</a:t>
            </a:r>
          </a:p>
        </c:rich>
      </c:tx>
      <c:overlay val="0"/>
    </c:title>
    <c:plotArea>
      <c:layout/>
      <c:barChart>
        <c:barDir val="col"/>
        <c:ser>
          <c:idx val="0"/>
          <c:order val="0"/>
          <c:spPr>
            <a:solidFill>
              <a:schemeClr val="accent1"/>
            </a:solidFill>
            <a:ln cmpd="sng">
              <a:solidFill>
                <a:srgbClr val="000000"/>
              </a:solidFill>
            </a:ln>
          </c:spPr>
          <c:cat>
            <c:strRef>
              <c:f>'U.S. Representative, Dist I'!$A$51:$A$54</c:f>
            </c:strRef>
          </c:cat>
          <c:val>
            <c:numRef>
              <c:f>'U.S. Representative, Dist I'!$B$51:$B$54</c:f>
              <c:numCache/>
            </c:numRef>
          </c:val>
        </c:ser>
        <c:axId val="1170974761"/>
        <c:axId val="1739757425"/>
      </c:barChart>
      <c:catAx>
        <c:axId val="11709747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739757425"/>
      </c:catAx>
      <c:valAx>
        <c:axId val="17397574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70974761"/>
      </c:valAx>
    </c:plotArea>
  </c:chart>
</c:chartSpace>
</file>

<file path=xl/charts/chart48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cat>
            <c:strRef>
              <c:f>'U.S. Representative, Dist I'!$M$11:$M$19</c:f>
            </c:strRef>
          </c:cat>
          <c:val>
            <c:numRef>
              <c:f>'U.S. Representative, Dist I'!$N$11:$N$19</c:f>
              <c:numCache/>
            </c:numRef>
          </c:val>
        </c:ser>
        <c:axId val="327787586"/>
        <c:axId val="988355850"/>
      </c:barChart>
      <c:catAx>
        <c:axId val="3277875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88355850"/>
      </c:catAx>
      <c:valAx>
        <c:axId val="988355850"/>
        <c:scaling>
          <c:orientation val="minMax"/>
        </c:scaling>
        <c:delete val="0"/>
        <c:axPos val="l"/>
        <c:tickLblPos val="nextTo"/>
        <c:spPr>
          <a:ln>
            <a:noFill/>
          </a:ln>
        </c:spPr>
        <c:crossAx val="327787586"/>
      </c:valAx>
    </c:plotArea>
  </c:chart>
</c:chartSpace>
</file>

<file path=xl/charts/chart48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cat>
            <c:strRef>
              <c:f>'U.S. Representative, Dist I'!$M$23:$M$42</c:f>
            </c:strRef>
          </c:cat>
          <c:val>
            <c:numRef>
              <c:f>'U.S. Representative, Dist I'!$N$23:$N$42</c:f>
              <c:numCache/>
            </c:numRef>
          </c:val>
        </c:ser>
        <c:axId val="758148701"/>
        <c:axId val="631377095"/>
      </c:barChart>
      <c:catAx>
        <c:axId val="7581487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631377095"/>
      </c:catAx>
      <c:valAx>
        <c:axId val="631377095"/>
        <c:scaling>
          <c:orientation val="minMax"/>
        </c:scaling>
        <c:delete val="0"/>
        <c:axPos val="l"/>
        <c:tickLblPos val="nextTo"/>
        <c:spPr>
          <a:ln>
            <a:noFill/>
          </a:ln>
        </c:spPr>
        <c:crossAx val="758148701"/>
      </c:valAx>
    </c:plotArea>
  </c:chart>
</c:chartSpace>
</file>

<file path=xl/charts/chart48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cat>
            <c:strRef>
              <c:f>'U.S. Representative, Dist I'!$M$46:$M$50</c:f>
            </c:strRef>
          </c:cat>
          <c:val>
            <c:numRef>
              <c:f>'U.S. Representative, Dist I'!$N$46:$N$50</c:f>
              <c:numCache/>
            </c:numRef>
          </c:val>
        </c:ser>
        <c:axId val="553159244"/>
        <c:axId val="1982940686"/>
      </c:barChart>
      <c:catAx>
        <c:axId val="5531592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982940686"/>
      </c:catAx>
      <c:valAx>
        <c:axId val="1982940686"/>
        <c:scaling>
          <c:orientation val="minMax"/>
        </c:scaling>
        <c:delete val="0"/>
        <c:axPos val="l"/>
        <c:tickLblPos val="nextTo"/>
        <c:spPr>
          <a:ln>
            <a:noFill/>
          </a:ln>
        </c:spPr>
        <c:crossAx val="553159244"/>
      </c:valAx>
    </c:plotArea>
  </c:chart>
</c:chartSpace>
</file>

<file path=xl/charts/chart49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(Republican)</a:t>
            </a:r>
          </a:p>
        </c:rich>
      </c:tx>
      <c:overlay val="0"/>
    </c:title>
    <c:plotArea>
      <c:layout/>
      <c:barChart>
        <c:barDir val="col"/>
        <c:ser>
          <c:idx val="0"/>
          <c:order val="0"/>
          <c:spPr>
            <a:solidFill>
              <a:schemeClr val="accent1"/>
            </a:solidFill>
            <a:ln cmpd="sng">
              <a:solidFill>
                <a:srgbClr val="000000"/>
              </a:solidFill>
            </a:ln>
          </c:spPr>
          <c:cat>
            <c:strRef>
              <c:f>'U.S. Representative, Dist II'!$A$5:$A$7</c:f>
            </c:strRef>
          </c:cat>
          <c:val>
            <c:numRef>
              <c:f>'U.S. Representative, Dist II'!$B$5:$B$7</c:f>
              <c:numCache/>
            </c:numRef>
          </c:val>
        </c:ser>
        <c:axId val="1668116959"/>
        <c:axId val="1656572041"/>
      </c:barChart>
      <c:catAx>
        <c:axId val="16681169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656572041"/>
      </c:catAx>
      <c:valAx>
        <c:axId val="1656572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668116959"/>
      </c:valAx>
    </c:plotArea>
  </c:chart>
</c:chartSpace>
</file>

<file path=xl/charts/chart49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(Democratic)</a:t>
            </a:r>
          </a:p>
        </c:rich>
      </c:tx>
      <c:overlay val="0"/>
    </c:title>
    <c:plotArea>
      <c:layout/>
      <c:barChart>
        <c:barDir val="col"/>
        <c:ser>
          <c:idx val="0"/>
          <c:order val="0"/>
          <c:spPr>
            <a:solidFill>
              <a:schemeClr val="accent1"/>
            </a:solidFill>
            <a:ln cmpd="sng">
              <a:solidFill>
                <a:srgbClr val="000000"/>
              </a:solidFill>
            </a:ln>
          </c:spPr>
          <c:cat>
            <c:strRef>
              <c:f>'U.S. Representative, Dist II'!$A$13:$A$15</c:f>
            </c:strRef>
          </c:cat>
          <c:val>
            <c:numRef>
              <c:f>'U.S. Representative, Dist II'!$B$13:$B$15</c:f>
              <c:numCache/>
            </c:numRef>
          </c:val>
        </c:ser>
        <c:axId val="117191465"/>
        <c:axId val="1341576097"/>
      </c:barChart>
      <c:catAx>
        <c:axId val="117191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341576097"/>
      </c:catAx>
      <c:valAx>
        <c:axId val="1341576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17191465"/>
      </c:valAx>
    </c:plotArea>
  </c:chart>
</c:chartSpace>
</file>

<file path=xl/charts/chart49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(N)</a:t>
            </a:r>
          </a:p>
        </c:rich>
      </c:tx>
      <c:overlay val="0"/>
    </c:title>
    <c:plotArea>
      <c:layout/>
      <c:barChart>
        <c:barDir val="col"/>
        <c:ser>
          <c:idx val="0"/>
          <c:order val="0"/>
          <c:spPr>
            <a:solidFill>
              <a:schemeClr val="accent1"/>
            </a:solidFill>
            <a:ln cmpd="sng">
              <a:solidFill>
                <a:srgbClr val="000000"/>
              </a:solidFill>
            </a:ln>
          </c:spPr>
          <c:cat>
            <c:strRef>
              <c:f>'U.S. Representative, Dist II'!$A$21:$A$23</c:f>
            </c:strRef>
          </c:cat>
          <c:val>
            <c:numRef>
              <c:f>'U.S. Representative, Dist II'!$B$21:$B$23</c:f>
              <c:numCache/>
            </c:numRef>
          </c:val>
        </c:ser>
        <c:axId val="200963968"/>
        <c:axId val="1260066220"/>
      </c:barChart>
      <c:catAx>
        <c:axId val="200963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260066220"/>
      </c:catAx>
      <c:valAx>
        <c:axId val="12600662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200963968"/>
      </c:valAx>
    </c:plotArea>
  </c:chart>
</c:chartSpace>
</file>

<file path=xl/charts/chart49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2024 Primary (L)</a:t>
            </a:r>
          </a:p>
        </c:rich>
      </c:tx>
      <c:overlay val="0"/>
    </c:title>
    <c:plotArea>
      <c:layout/>
      <c:barChart>
        <c:barDir val="col"/>
        <c:ser>
          <c:idx val="0"/>
          <c:order val="0"/>
          <c:spPr>
            <a:solidFill>
              <a:schemeClr val="accent1"/>
            </a:solidFill>
            <a:ln cmpd="sng">
              <a:solidFill>
                <a:srgbClr val="000000"/>
              </a:solidFill>
            </a:ln>
          </c:spPr>
          <c:cat>
            <c:strRef>
              <c:f>'U.S. Representative, Dist II'!$A$29:$A$31</c:f>
            </c:strRef>
          </c:cat>
          <c:val>
            <c:numRef>
              <c:f>'U.S. Representative, Dist II'!$B$29:$B$31</c:f>
              <c:numCache/>
            </c:numRef>
          </c:val>
        </c:ser>
        <c:axId val="1332754576"/>
        <c:axId val="714129290"/>
      </c:barChart>
      <c:catAx>
        <c:axId val="13327545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714129290"/>
      </c:catAx>
      <c:valAx>
        <c:axId val="7141292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32754576"/>
      </c:valAx>
    </c:plotArea>
  </c:chart>
</c:chartSpace>
</file>

<file path=xl/charts/chart49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Primary (Republican)</a:t>
            </a:r>
          </a:p>
        </c:rich>
      </c:tx>
      <c:overlay val="0"/>
    </c:title>
    <c:plotArea>
      <c:layout/>
      <c:barChart>
        <c:barDir val="col"/>
        <c:ser>
          <c:idx val="0"/>
          <c:order val="0"/>
          <c:spPr>
            <a:solidFill>
              <a:schemeClr val="accent1"/>
            </a:solidFill>
            <a:ln cmpd="sng">
              <a:solidFill>
                <a:srgbClr val="000000"/>
              </a:solidFill>
            </a:ln>
          </c:spPr>
          <c:cat>
            <c:strRef>
              <c:f>'U.S. Representative, Dist II'!$A$39:$A$42</c:f>
            </c:strRef>
          </c:cat>
          <c:val>
            <c:numRef>
              <c:f>'U.S. Representative, Dist II'!$B$39:$B$42</c:f>
              <c:numCache/>
            </c:numRef>
          </c:val>
        </c:ser>
        <c:axId val="1343578276"/>
        <c:axId val="570459373"/>
      </c:barChart>
      <c:catAx>
        <c:axId val="13435782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Candidate/Vote Type</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570459373"/>
      </c:catAx>
      <c:valAx>
        <c:axId val="5704593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sz="1000">
                <a:solidFill>
                  <a:srgbClr val="000000"/>
                </a:solidFill>
                <a:latin typeface="+mn-lt"/>
              </a:defRPr>
            </a:pPr>
          </a:p>
        </c:txPr>
        <c:crossAx val="1343578276"/>
      </c:valAx>
    </c:plotArea>
  </c:chart>
</c:chartSpace>
</file>

<file path=xl/charts/chart49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Age</a:t>
            </a:r>
          </a:p>
        </c:rich>
      </c:tx>
      <c:overlay val="0"/>
    </c:title>
    <c:plotArea>
      <c:layout/>
      <c:barChart>
        <c:barDir val="col"/>
        <c:ser>
          <c:idx val="0"/>
          <c:order val="0"/>
          <c:cat>
            <c:strRef>
              <c:f>'U.S. Representative, Dist II'!$M$11:$M$19</c:f>
            </c:strRef>
          </c:cat>
          <c:val>
            <c:numRef>
              <c:f>'U.S. Representative, Dist II'!$N$11:$N$19</c:f>
              <c:numCache/>
            </c:numRef>
          </c:val>
        </c:ser>
        <c:axId val="852060422"/>
        <c:axId val="983113785"/>
      </c:barChart>
      <c:catAx>
        <c:axId val="8520604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983113785"/>
      </c:catAx>
      <c:valAx>
        <c:axId val="983113785"/>
        <c:scaling>
          <c:orientation val="minMax"/>
        </c:scaling>
        <c:delete val="0"/>
        <c:axPos val="l"/>
        <c:tickLblPos val="nextTo"/>
        <c:spPr>
          <a:ln>
            <a:noFill/>
          </a:ln>
        </c:spPr>
        <c:crossAx val="852060422"/>
      </c:valAx>
    </c:plotArea>
  </c:chart>
</c:chartSpace>
</file>

<file path=xl/charts/chart49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Ethnicity</a:t>
            </a:r>
          </a:p>
        </c:rich>
      </c:tx>
      <c:overlay val="0"/>
    </c:title>
    <c:plotArea>
      <c:layout/>
      <c:barChart>
        <c:barDir val="col"/>
        <c:ser>
          <c:idx val="0"/>
          <c:order val="0"/>
          <c:cat>
            <c:strRef>
              <c:f>'U.S. Representative, Dist II'!$M$23:$M$42</c:f>
            </c:strRef>
          </c:cat>
          <c:val>
            <c:numRef>
              <c:f>'U.S. Representative, Dist II'!$N$23:$N$42</c:f>
              <c:numCache/>
            </c:numRef>
          </c:val>
        </c:ser>
        <c:axId val="1541081421"/>
        <c:axId val="1144375702"/>
      </c:barChart>
      <c:catAx>
        <c:axId val="15410814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144375702"/>
      </c:catAx>
      <c:valAx>
        <c:axId val="1144375702"/>
        <c:scaling>
          <c:orientation val="minMax"/>
        </c:scaling>
        <c:delete val="0"/>
        <c:axPos val="l"/>
        <c:tickLblPos val="nextTo"/>
        <c:spPr>
          <a:ln>
            <a:noFill/>
          </a:ln>
        </c:spPr>
        <c:crossAx val="1541081421"/>
      </c:valAx>
    </c:plotArea>
  </c:chart>
</c:chartSpace>
</file>

<file path=xl/charts/chart49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Income</a:t>
            </a:r>
          </a:p>
        </c:rich>
      </c:tx>
      <c:overlay val="0"/>
    </c:title>
    <c:plotArea>
      <c:layout/>
      <c:barChart>
        <c:barDir val="col"/>
        <c:ser>
          <c:idx val="0"/>
          <c:order val="0"/>
          <c:cat>
            <c:strRef>
              <c:f>'U.S. Representative, Dist II'!$M$46:$M$50</c:f>
            </c:strRef>
          </c:cat>
          <c:val>
            <c:numRef>
              <c:f>'U.S. Representative, Dist II'!$N$46:$N$50</c:f>
              <c:numCache/>
            </c:numRef>
          </c:val>
        </c:ser>
        <c:axId val="1752434249"/>
        <c:axId val="830235869"/>
      </c:barChart>
      <c:catAx>
        <c:axId val="17524342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30235869"/>
      </c:catAx>
      <c:valAx>
        <c:axId val="830235869"/>
        <c:scaling>
          <c:orientation val="minMax"/>
        </c:scaling>
        <c:delete val="0"/>
        <c:axPos val="l"/>
        <c:tickLblPos val="nextTo"/>
        <c:spPr>
          <a:ln>
            <a:noFill/>
          </a:ln>
        </c:spPr>
        <c:crossAx val="1752434249"/>
      </c:valAx>
    </c:plotArea>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 Id="rId5" Type="http://schemas.openxmlformats.org/officeDocument/2006/relationships/chart" Target="../charts/chart15.xml"/><Relationship Id="rId6"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Relationship Id="rId3" Type="http://schemas.openxmlformats.org/officeDocument/2006/relationships/chart" Target="../charts/chart25.xml"/><Relationship Id="rId4" Type="http://schemas.openxmlformats.org/officeDocument/2006/relationships/chart" Target="../charts/chart2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7.xml"/><Relationship Id="rId2" Type="http://schemas.openxmlformats.org/officeDocument/2006/relationships/chart" Target="../charts/chart28.xml"/><Relationship Id="rId3" Type="http://schemas.openxmlformats.org/officeDocument/2006/relationships/chart" Target="../charts/chart29.xml"/><Relationship Id="rId4" Type="http://schemas.openxmlformats.org/officeDocument/2006/relationships/chart" Target="../charts/chart30.xml"/><Relationship Id="rId5" Type="http://schemas.openxmlformats.org/officeDocument/2006/relationships/chart" Target="../charts/chart31.xml"/><Relationship Id="rId6" Type="http://schemas.openxmlformats.org/officeDocument/2006/relationships/chart" Target="../charts/chart32.xml"/><Relationship Id="rId7" Type="http://schemas.openxmlformats.org/officeDocument/2006/relationships/chart" Target="../charts/chart33.xml"/><Relationship Id="rId8" Type="http://schemas.openxmlformats.org/officeDocument/2006/relationships/chart" Target="../charts/chart3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5.xml"/><Relationship Id="rId2" Type="http://schemas.openxmlformats.org/officeDocument/2006/relationships/chart" Target="../charts/chart36.xml"/><Relationship Id="rId3" Type="http://schemas.openxmlformats.org/officeDocument/2006/relationships/chart" Target="../charts/chart37.xml"/><Relationship Id="rId4" Type="http://schemas.openxmlformats.org/officeDocument/2006/relationships/chart" Target="../charts/chart38.xml"/><Relationship Id="rId5" Type="http://schemas.openxmlformats.org/officeDocument/2006/relationships/chart" Target="../charts/chart39.xml"/><Relationship Id="rId6" Type="http://schemas.openxmlformats.org/officeDocument/2006/relationships/chart" Target="../charts/chart40.xml"/><Relationship Id="rId7" Type="http://schemas.openxmlformats.org/officeDocument/2006/relationships/chart" Target="../charts/chart4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2.xml"/><Relationship Id="rId2" Type="http://schemas.openxmlformats.org/officeDocument/2006/relationships/chart" Target="../charts/chart43.xml"/><Relationship Id="rId3" Type="http://schemas.openxmlformats.org/officeDocument/2006/relationships/chart" Target="../charts/chart44.xml"/><Relationship Id="rId4" Type="http://schemas.openxmlformats.org/officeDocument/2006/relationships/chart" Target="../charts/chart4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46.xml"/><Relationship Id="rId2" Type="http://schemas.openxmlformats.org/officeDocument/2006/relationships/chart" Target="../charts/chart47.xml"/><Relationship Id="rId3" Type="http://schemas.openxmlformats.org/officeDocument/2006/relationships/chart" Target="../charts/chart48.xml"/><Relationship Id="rId4" Type="http://schemas.openxmlformats.org/officeDocument/2006/relationships/chart" Target="../charts/chart4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0.xml"/><Relationship Id="rId2" Type="http://schemas.openxmlformats.org/officeDocument/2006/relationships/chart" Target="../charts/chart51.xml"/><Relationship Id="rId3" Type="http://schemas.openxmlformats.org/officeDocument/2006/relationships/chart" Target="../charts/chart52.xml"/><Relationship Id="rId4" Type="http://schemas.openxmlformats.org/officeDocument/2006/relationships/chart" Target="../charts/chart5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54.xml"/><Relationship Id="rId2" Type="http://schemas.openxmlformats.org/officeDocument/2006/relationships/chart" Target="../charts/chart55.xml"/><Relationship Id="rId3" Type="http://schemas.openxmlformats.org/officeDocument/2006/relationships/chart" Target="../charts/chart56.xml"/><Relationship Id="rId4" Type="http://schemas.openxmlformats.org/officeDocument/2006/relationships/chart" Target="../charts/chart5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58.xml"/><Relationship Id="rId2" Type="http://schemas.openxmlformats.org/officeDocument/2006/relationships/chart" Target="../charts/chart59.xml"/><Relationship Id="rId3" Type="http://schemas.openxmlformats.org/officeDocument/2006/relationships/chart" Target="../charts/chart60.xml"/><Relationship Id="rId4" Type="http://schemas.openxmlformats.org/officeDocument/2006/relationships/chart" Target="../charts/chart61.xml"/><Relationship Id="rId5" Type="http://schemas.openxmlformats.org/officeDocument/2006/relationships/chart" Target="../charts/chart62.xml"/><Relationship Id="rId6" Type="http://schemas.openxmlformats.org/officeDocument/2006/relationships/chart" Target="../charts/chart63.xml"/><Relationship Id="rId7" Type="http://schemas.openxmlformats.org/officeDocument/2006/relationships/chart" Target="../charts/chart6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65.xml"/><Relationship Id="rId2" Type="http://schemas.openxmlformats.org/officeDocument/2006/relationships/chart" Target="../charts/chart66.xml"/><Relationship Id="rId3" Type="http://schemas.openxmlformats.org/officeDocument/2006/relationships/chart" Target="../charts/chart67.xml"/><Relationship Id="rId4" Type="http://schemas.openxmlformats.org/officeDocument/2006/relationships/chart" Target="../charts/chart6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69.xml"/><Relationship Id="rId2" Type="http://schemas.openxmlformats.org/officeDocument/2006/relationships/chart" Target="../charts/chart70.xml"/><Relationship Id="rId3" Type="http://schemas.openxmlformats.org/officeDocument/2006/relationships/chart" Target="../charts/chart71.xml"/><Relationship Id="rId4" Type="http://schemas.openxmlformats.org/officeDocument/2006/relationships/chart" Target="../charts/chart7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73.xml"/><Relationship Id="rId2" Type="http://schemas.openxmlformats.org/officeDocument/2006/relationships/chart" Target="../charts/chart74.xml"/><Relationship Id="rId3" Type="http://schemas.openxmlformats.org/officeDocument/2006/relationships/chart" Target="../charts/chart75.xml"/><Relationship Id="rId4" Type="http://schemas.openxmlformats.org/officeDocument/2006/relationships/chart" Target="../charts/chart7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77.xml"/><Relationship Id="rId2" Type="http://schemas.openxmlformats.org/officeDocument/2006/relationships/chart" Target="../charts/chart78.xml"/><Relationship Id="rId3" Type="http://schemas.openxmlformats.org/officeDocument/2006/relationships/chart" Target="../charts/chart79.xml"/><Relationship Id="rId4" Type="http://schemas.openxmlformats.org/officeDocument/2006/relationships/chart" Target="../charts/chart80.xml"/><Relationship Id="rId5" Type="http://schemas.openxmlformats.org/officeDocument/2006/relationships/chart" Target="../charts/chart81.xml"/><Relationship Id="rId6" Type="http://schemas.openxmlformats.org/officeDocument/2006/relationships/chart" Target="../charts/chart82.xml"/><Relationship Id="rId7" Type="http://schemas.openxmlformats.org/officeDocument/2006/relationships/chart" Target="../charts/chart83.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84.xml"/><Relationship Id="rId2" Type="http://schemas.openxmlformats.org/officeDocument/2006/relationships/chart" Target="../charts/chart85.xml"/><Relationship Id="rId3" Type="http://schemas.openxmlformats.org/officeDocument/2006/relationships/chart" Target="../charts/chart86.xml"/><Relationship Id="rId4" Type="http://schemas.openxmlformats.org/officeDocument/2006/relationships/chart" Target="../charts/chart87.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88.xml"/><Relationship Id="rId2" Type="http://schemas.openxmlformats.org/officeDocument/2006/relationships/chart" Target="../charts/chart89.xml"/><Relationship Id="rId3" Type="http://schemas.openxmlformats.org/officeDocument/2006/relationships/chart" Target="../charts/chart90.xml"/><Relationship Id="rId4" Type="http://schemas.openxmlformats.org/officeDocument/2006/relationships/chart" Target="../charts/chart91.xml"/><Relationship Id="rId5" Type="http://schemas.openxmlformats.org/officeDocument/2006/relationships/chart" Target="../charts/chart92.xml"/><Relationship Id="rId6" Type="http://schemas.openxmlformats.org/officeDocument/2006/relationships/chart" Target="../charts/chart93.xml"/><Relationship Id="rId7" Type="http://schemas.openxmlformats.org/officeDocument/2006/relationships/chart" Target="../charts/chart94.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95.xml"/><Relationship Id="rId2" Type="http://schemas.openxmlformats.org/officeDocument/2006/relationships/chart" Target="../charts/chart96.xml"/><Relationship Id="rId3" Type="http://schemas.openxmlformats.org/officeDocument/2006/relationships/chart" Target="../charts/chart97.xml"/><Relationship Id="rId4" Type="http://schemas.openxmlformats.org/officeDocument/2006/relationships/chart" Target="../charts/chart98.xml"/><Relationship Id="rId5" Type="http://schemas.openxmlformats.org/officeDocument/2006/relationships/chart" Target="../charts/chart99.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00.xml"/><Relationship Id="rId2" Type="http://schemas.openxmlformats.org/officeDocument/2006/relationships/chart" Target="../charts/chart101.xml"/><Relationship Id="rId3" Type="http://schemas.openxmlformats.org/officeDocument/2006/relationships/chart" Target="../charts/chart102.xml"/><Relationship Id="rId4" Type="http://schemas.openxmlformats.org/officeDocument/2006/relationships/chart" Target="../charts/chart10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04.xml"/><Relationship Id="rId2" Type="http://schemas.openxmlformats.org/officeDocument/2006/relationships/chart" Target="../charts/chart105.xml"/><Relationship Id="rId3" Type="http://schemas.openxmlformats.org/officeDocument/2006/relationships/chart" Target="../charts/chart106.xml"/><Relationship Id="rId4" Type="http://schemas.openxmlformats.org/officeDocument/2006/relationships/chart" Target="../charts/chart10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08.xml"/><Relationship Id="rId2" Type="http://schemas.openxmlformats.org/officeDocument/2006/relationships/chart" Target="../charts/chart109.xml"/><Relationship Id="rId3" Type="http://schemas.openxmlformats.org/officeDocument/2006/relationships/chart" Target="../charts/chart110.xml"/><Relationship Id="rId4" Type="http://schemas.openxmlformats.org/officeDocument/2006/relationships/chart" Target="../charts/chart111.xml"/><Relationship Id="rId5" Type="http://schemas.openxmlformats.org/officeDocument/2006/relationships/chart" Target="../charts/chart112.xml"/><Relationship Id="rId6" Type="http://schemas.openxmlformats.org/officeDocument/2006/relationships/chart" Target="../charts/chart113.xml"/><Relationship Id="rId7" Type="http://schemas.openxmlformats.org/officeDocument/2006/relationships/chart" Target="../charts/chart11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15.xml"/><Relationship Id="rId2" Type="http://schemas.openxmlformats.org/officeDocument/2006/relationships/chart" Target="../charts/chart116.xml"/><Relationship Id="rId3" Type="http://schemas.openxmlformats.org/officeDocument/2006/relationships/chart" Target="../charts/chart117.xml"/><Relationship Id="rId4" Type="http://schemas.openxmlformats.org/officeDocument/2006/relationships/chart" Target="../charts/chart118.xml"/><Relationship Id="rId5" Type="http://schemas.openxmlformats.org/officeDocument/2006/relationships/chart" Target="../charts/chart119.xml"/><Relationship Id="rId6" Type="http://schemas.openxmlformats.org/officeDocument/2006/relationships/chart" Target="../charts/chart120.xml"/><Relationship Id="rId7" Type="http://schemas.openxmlformats.org/officeDocument/2006/relationships/chart" Target="../charts/chart12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22.xml"/><Relationship Id="rId2" Type="http://schemas.openxmlformats.org/officeDocument/2006/relationships/chart" Target="../charts/chart123.xml"/><Relationship Id="rId3" Type="http://schemas.openxmlformats.org/officeDocument/2006/relationships/chart" Target="../charts/chart124.xml"/><Relationship Id="rId4" Type="http://schemas.openxmlformats.org/officeDocument/2006/relationships/chart" Target="../charts/chart125.xml"/><Relationship Id="rId5" Type="http://schemas.openxmlformats.org/officeDocument/2006/relationships/chart" Target="../charts/chart126.xml"/><Relationship Id="rId6" Type="http://schemas.openxmlformats.org/officeDocument/2006/relationships/chart" Target="../charts/chart127.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28.xml"/><Relationship Id="rId2" Type="http://schemas.openxmlformats.org/officeDocument/2006/relationships/chart" Target="../charts/chart129.xml"/><Relationship Id="rId3" Type="http://schemas.openxmlformats.org/officeDocument/2006/relationships/chart" Target="../charts/chart130.xml"/><Relationship Id="rId4" Type="http://schemas.openxmlformats.org/officeDocument/2006/relationships/chart" Target="../charts/chart131.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32.xml"/><Relationship Id="rId2" Type="http://schemas.openxmlformats.org/officeDocument/2006/relationships/chart" Target="../charts/chart133.xml"/><Relationship Id="rId3" Type="http://schemas.openxmlformats.org/officeDocument/2006/relationships/chart" Target="../charts/chart134.xml"/><Relationship Id="rId4" Type="http://schemas.openxmlformats.org/officeDocument/2006/relationships/chart" Target="../charts/chart135.xml"/><Relationship Id="rId5" Type="http://schemas.openxmlformats.org/officeDocument/2006/relationships/chart" Target="../charts/chart13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37.xml"/><Relationship Id="rId2" Type="http://schemas.openxmlformats.org/officeDocument/2006/relationships/chart" Target="../charts/chart138.xml"/><Relationship Id="rId3" Type="http://schemas.openxmlformats.org/officeDocument/2006/relationships/chart" Target="../charts/chart139.xml"/><Relationship Id="rId4" Type="http://schemas.openxmlformats.org/officeDocument/2006/relationships/chart" Target="../charts/chart140.xml"/><Relationship Id="rId5" Type="http://schemas.openxmlformats.org/officeDocument/2006/relationships/chart" Target="../charts/chart141.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42.xml"/><Relationship Id="rId2" Type="http://schemas.openxmlformats.org/officeDocument/2006/relationships/chart" Target="../charts/chart143.xml"/><Relationship Id="rId3" Type="http://schemas.openxmlformats.org/officeDocument/2006/relationships/chart" Target="../charts/chart144.xml"/><Relationship Id="rId4" Type="http://schemas.openxmlformats.org/officeDocument/2006/relationships/chart" Target="../charts/chart145.xml"/><Relationship Id="rId5" Type="http://schemas.openxmlformats.org/officeDocument/2006/relationships/chart" Target="../charts/chart146.xml"/><Relationship Id="rId6" Type="http://schemas.openxmlformats.org/officeDocument/2006/relationships/chart" Target="../charts/chart147.xml"/><Relationship Id="rId7" Type="http://schemas.openxmlformats.org/officeDocument/2006/relationships/chart" Target="../charts/chart148.xml"/><Relationship Id="rId8" Type="http://schemas.openxmlformats.org/officeDocument/2006/relationships/chart" Target="../charts/chart149.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50.xml"/><Relationship Id="rId2" Type="http://schemas.openxmlformats.org/officeDocument/2006/relationships/chart" Target="../charts/chart151.xml"/><Relationship Id="rId3" Type="http://schemas.openxmlformats.org/officeDocument/2006/relationships/chart" Target="../charts/chart152.xml"/><Relationship Id="rId4" Type="http://schemas.openxmlformats.org/officeDocument/2006/relationships/chart" Target="../charts/chart153.xml"/><Relationship Id="rId9" Type="http://schemas.openxmlformats.org/officeDocument/2006/relationships/chart" Target="../charts/chart158.xml"/><Relationship Id="rId5" Type="http://schemas.openxmlformats.org/officeDocument/2006/relationships/chart" Target="../charts/chart154.xml"/><Relationship Id="rId6" Type="http://schemas.openxmlformats.org/officeDocument/2006/relationships/chart" Target="../charts/chart155.xml"/><Relationship Id="rId7" Type="http://schemas.openxmlformats.org/officeDocument/2006/relationships/chart" Target="../charts/chart156.xml"/><Relationship Id="rId8" Type="http://schemas.openxmlformats.org/officeDocument/2006/relationships/chart" Target="../charts/chart15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59.xml"/><Relationship Id="rId2" Type="http://schemas.openxmlformats.org/officeDocument/2006/relationships/chart" Target="../charts/chart160.xml"/><Relationship Id="rId3" Type="http://schemas.openxmlformats.org/officeDocument/2006/relationships/chart" Target="../charts/chart161.xml"/><Relationship Id="rId4" Type="http://schemas.openxmlformats.org/officeDocument/2006/relationships/chart" Target="../charts/chart162.xml"/><Relationship Id="rId9" Type="http://schemas.openxmlformats.org/officeDocument/2006/relationships/chart" Target="../charts/chart167.xml"/><Relationship Id="rId5" Type="http://schemas.openxmlformats.org/officeDocument/2006/relationships/chart" Target="../charts/chart163.xml"/><Relationship Id="rId6" Type="http://schemas.openxmlformats.org/officeDocument/2006/relationships/chart" Target="../charts/chart164.xml"/><Relationship Id="rId7" Type="http://schemas.openxmlformats.org/officeDocument/2006/relationships/chart" Target="../charts/chart165.xml"/><Relationship Id="rId8" Type="http://schemas.openxmlformats.org/officeDocument/2006/relationships/chart" Target="../charts/chart166.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68.xml"/><Relationship Id="rId2" Type="http://schemas.openxmlformats.org/officeDocument/2006/relationships/chart" Target="../charts/chart169.xml"/><Relationship Id="rId3" Type="http://schemas.openxmlformats.org/officeDocument/2006/relationships/chart" Target="../charts/chart170.xml"/><Relationship Id="rId4" Type="http://schemas.openxmlformats.org/officeDocument/2006/relationships/chart" Target="../charts/chart171.xml"/><Relationship Id="rId5" Type="http://schemas.openxmlformats.org/officeDocument/2006/relationships/chart" Target="../charts/chart172.xml"/><Relationship Id="rId6" Type="http://schemas.openxmlformats.org/officeDocument/2006/relationships/chart" Target="../charts/chart173.xml"/><Relationship Id="rId7" Type="http://schemas.openxmlformats.org/officeDocument/2006/relationships/chart" Target="../charts/chart17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75.xml"/><Relationship Id="rId2" Type="http://schemas.openxmlformats.org/officeDocument/2006/relationships/chart" Target="../charts/chart176.xml"/><Relationship Id="rId3" Type="http://schemas.openxmlformats.org/officeDocument/2006/relationships/chart" Target="../charts/chart177.xml"/><Relationship Id="rId4" Type="http://schemas.openxmlformats.org/officeDocument/2006/relationships/chart" Target="../charts/chart178.xml"/><Relationship Id="rId5" Type="http://schemas.openxmlformats.org/officeDocument/2006/relationships/chart" Target="../charts/chart179.xml"/><Relationship Id="rId6" Type="http://schemas.openxmlformats.org/officeDocument/2006/relationships/chart" Target="../charts/chart180.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181.xml"/><Relationship Id="rId2" Type="http://schemas.openxmlformats.org/officeDocument/2006/relationships/chart" Target="../charts/chart182.xml"/><Relationship Id="rId3" Type="http://schemas.openxmlformats.org/officeDocument/2006/relationships/chart" Target="../charts/chart183.xml"/><Relationship Id="rId4" Type="http://schemas.openxmlformats.org/officeDocument/2006/relationships/chart" Target="../charts/chart184.xml"/><Relationship Id="rId5" Type="http://schemas.openxmlformats.org/officeDocument/2006/relationships/chart" Target="../charts/chart185.xml"/><Relationship Id="rId6" Type="http://schemas.openxmlformats.org/officeDocument/2006/relationships/chart" Target="../charts/chart186.xml"/><Relationship Id="rId7" Type="http://schemas.openxmlformats.org/officeDocument/2006/relationships/chart" Target="../charts/chart187.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88.xml"/><Relationship Id="rId2" Type="http://schemas.openxmlformats.org/officeDocument/2006/relationships/chart" Target="../charts/chart189.xml"/><Relationship Id="rId3" Type="http://schemas.openxmlformats.org/officeDocument/2006/relationships/chart" Target="../charts/chart190.xml"/><Relationship Id="rId4" Type="http://schemas.openxmlformats.org/officeDocument/2006/relationships/chart" Target="../charts/chart191.xml"/><Relationship Id="rId5" Type="http://schemas.openxmlformats.org/officeDocument/2006/relationships/chart" Target="../charts/chart192.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193.xml"/><Relationship Id="rId2" Type="http://schemas.openxmlformats.org/officeDocument/2006/relationships/chart" Target="../charts/chart194.xml"/><Relationship Id="rId3" Type="http://schemas.openxmlformats.org/officeDocument/2006/relationships/chart" Target="../charts/chart195.xml"/><Relationship Id="rId4" Type="http://schemas.openxmlformats.org/officeDocument/2006/relationships/chart" Target="../charts/chart196.xml"/><Relationship Id="rId5" Type="http://schemas.openxmlformats.org/officeDocument/2006/relationships/chart" Target="../charts/chart197.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198.xml"/><Relationship Id="rId2" Type="http://schemas.openxmlformats.org/officeDocument/2006/relationships/chart" Target="../charts/chart199.xml"/><Relationship Id="rId3" Type="http://schemas.openxmlformats.org/officeDocument/2006/relationships/chart" Target="../charts/chart200.xml"/><Relationship Id="rId4" Type="http://schemas.openxmlformats.org/officeDocument/2006/relationships/chart" Target="../charts/chart201.xml"/><Relationship Id="rId5" Type="http://schemas.openxmlformats.org/officeDocument/2006/relationships/chart" Target="../charts/chart202.xml"/><Relationship Id="rId6" Type="http://schemas.openxmlformats.org/officeDocument/2006/relationships/chart" Target="../charts/chart203.xml"/><Relationship Id="rId7" Type="http://schemas.openxmlformats.org/officeDocument/2006/relationships/chart" Target="../charts/chart204.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05.xml"/><Relationship Id="rId2" Type="http://schemas.openxmlformats.org/officeDocument/2006/relationships/chart" Target="../charts/chart206.xml"/><Relationship Id="rId3" Type="http://schemas.openxmlformats.org/officeDocument/2006/relationships/chart" Target="../charts/chart207.xml"/><Relationship Id="rId4" Type="http://schemas.openxmlformats.org/officeDocument/2006/relationships/chart" Target="../charts/chart208.xml"/><Relationship Id="rId9" Type="http://schemas.openxmlformats.org/officeDocument/2006/relationships/chart" Target="../charts/chart213.xml"/><Relationship Id="rId5" Type="http://schemas.openxmlformats.org/officeDocument/2006/relationships/chart" Target="../charts/chart209.xml"/><Relationship Id="rId6" Type="http://schemas.openxmlformats.org/officeDocument/2006/relationships/chart" Target="../charts/chart210.xml"/><Relationship Id="rId7" Type="http://schemas.openxmlformats.org/officeDocument/2006/relationships/chart" Target="../charts/chart211.xml"/><Relationship Id="rId8" Type="http://schemas.openxmlformats.org/officeDocument/2006/relationships/chart" Target="../charts/chart212.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4.xml"/><Relationship Id="rId2" Type="http://schemas.openxmlformats.org/officeDocument/2006/relationships/chart" Target="../charts/chart215.xml"/><Relationship Id="rId3" Type="http://schemas.openxmlformats.org/officeDocument/2006/relationships/chart" Target="../charts/chart216.xml"/><Relationship Id="rId4" Type="http://schemas.openxmlformats.org/officeDocument/2006/relationships/chart" Target="../charts/chart217.xml"/><Relationship Id="rId5" Type="http://schemas.openxmlformats.org/officeDocument/2006/relationships/chart" Target="../charts/chart218.xml"/><Relationship Id="rId6" Type="http://schemas.openxmlformats.org/officeDocument/2006/relationships/chart" Target="../charts/chart219.xml"/><Relationship Id="rId7" Type="http://schemas.openxmlformats.org/officeDocument/2006/relationships/chart" Target="../charts/chart220.xml"/><Relationship Id="rId8" Type="http://schemas.openxmlformats.org/officeDocument/2006/relationships/chart" Target="../charts/chart221.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222.xml"/><Relationship Id="rId2" Type="http://schemas.openxmlformats.org/officeDocument/2006/relationships/chart" Target="../charts/chart223.xml"/><Relationship Id="rId3" Type="http://schemas.openxmlformats.org/officeDocument/2006/relationships/chart" Target="../charts/chart224.xml"/><Relationship Id="rId4" Type="http://schemas.openxmlformats.org/officeDocument/2006/relationships/chart" Target="../charts/chart225.xml"/><Relationship Id="rId5" Type="http://schemas.openxmlformats.org/officeDocument/2006/relationships/chart" Target="../charts/chart226.xml"/><Relationship Id="rId6" Type="http://schemas.openxmlformats.org/officeDocument/2006/relationships/chart" Target="../charts/chart227.xml"/><Relationship Id="rId7" Type="http://schemas.openxmlformats.org/officeDocument/2006/relationships/chart" Target="../charts/chart228.xml"/><Relationship Id="rId8" Type="http://schemas.openxmlformats.org/officeDocument/2006/relationships/chart" Target="../charts/chart229.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30.xml"/><Relationship Id="rId2" Type="http://schemas.openxmlformats.org/officeDocument/2006/relationships/chart" Target="../charts/chart231.xml"/><Relationship Id="rId3" Type="http://schemas.openxmlformats.org/officeDocument/2006/relationships/chart" Target="../charts/chart232.xml"/><Relationship Id="rId4" Type="http://schemas.openxmlformats.org/officeDocument/2006/relationships/chart" Target="../charts/chart233.xml"/><Relationship Id="rId5" Type="http://schemas.openxmlformats.org/officeDocument/2006/relationships/chart" Target="../charts/chart234.xml"/><Relationship Id="rId6" Type="http://schemas.openxmlformats.org/officeDocument/2006/relationships/chart" Target="../charts/chart235.xml"/><Relationship Id="rId7" Type="http://schemas.openxmlformats.org/officeDocument/2006/relationships/chart" Target="../charts/chart236.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237.xml"/><Relationship Id="rId2" Type="http://schemas.openxmlformats.org/officeDocument/2006/relationships/chart" Target="../charts/chart238.xml"/><Relationship Id="rId3" Type="http://schemas.openxmlformats.org/officeDocument/2006/relationships/chart" Target="../charts/chart239.xml"/><Relationship Id="rId4" Type="http://schemas.openxmlformats.org/officeDocument/2006/relationships/chart" Target="../charts/chart240.xml"/><Relationship Id="rId5" Type="http://schemas.openxmlformats.org/officeDocument/2006/relationships/chart" Target="../charts/chart241.xml"/><Relationship Id="rId6" Type="http://schemas.openxmlformats.org/officeDocument/2006/relationships/chart" Target="../charts/chart242.xml"/><Relationship Id="rId7" Type="http://schemas.openxmlformats.org/officeDocument/2006/relationships/chart" Target="../charts/chart243.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44.xml"/><Relationship Id="rId2" Type="http://schemas.openxmlformats.org/officeDocument/2006/relationships/chart" Target="../charts/chart245.xml"/><Relationship Id="rId3" Type="http://schemas.openxmlformats.org/officeDocument/2006/relationships/chart" Target="../charts/chart246.xml"/><Relationship Id="rId4" Type="http://schemas.openxmlformats.org/officeDocument/2006/relationships/chart" Target="../charts/chart247.xml"/><Relationship Id="rId5" Type="http://schemas.openxmlformats.org/officeDocument/2006/relationships/chart" Target="../charts/chart248.xml"/><Relationship Id="rId6" Type="http://schemas.openxmlformats.org/officeDocument/2006/relationships/chart" Target="../charts/chart249.xml"/><Relationship Id="rId7" Type="http://schemas.openxmlformats.org/officeDocument/2006/relationships/chart" Target="../charts/chart250.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251.xml"/><Relationship Id="rId2" Type="http://schemas.openxmlformats.org/officeDocument/2006/relationships/chart" Target="../charts/chart252.xml"/><Relationship Id="rId3" Type="http://schemas.openxmlformats.org/officeDocument/2006/relationships/chart" Target="../charts/chart253.xml"/><Relationship Id="rId4" Type="http://schemas.openxmlformats.org/officeDocument/2006/relationships/chart" Target="../charts/chart254.xml"/><Relationship Id="rId5" Type="http://schemas.openxmlformats.org/officeDocument/2006/relationships/chart" Target="../charts/chart255.xml"/><Relationship Id="rId6" Type="http://schemas.openxmlformats.org/officeDocument/2006/relationships/chart" Target="../charts/chart256.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57.xml"/><Relationship Id="rId2" Type="http://schemas.openxmlformats.org/officeDocument/2006/relationships/chart" Target="../charts/chart258.xml"/><Relationship Id="rId3" Type="http://schemas.openxmlformats.org/officeDocument/2006/relationships/chart" Target="../charts/chart259.xml"/><Relationship Id="rId4" Type="http://schemas.openxmlformats.org/officeDocument/2006/relationships/chart" Target="../charts/chart260.xml"/><Relationship Id="rId5" Type="http://schemas.openxmlformats.org/officeDocument/2006/relationships/chart" Target="../charts/chart261.xml"/><Relationship Id="rId6" Type="http://schemas.openxmlformats.org/officeDocument/2006/relationships/chart" Target="../charts/chart262.xml"/><Relationship Id="rId7" Type="http://schemas.openxmlformats.org/officeDocument/2006/relationships/chart" Target="../charts/chart263.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264.xml"/><Relationship Id="rId2" Type="http://schemas.openxmlformats.org/officeDocument/2006/relationships/chart" Target="../charts/chart265.xml"/><Relationship Id="rId3" Type="http://schemas.openxmlformats.org/officeDocument/2006/relationships/chart" Target="../charts/chart266.xml"/><Relationship Id="rId4" Type="http://schemas.openxmlformats.org/officeDocument/2006/relationships/chart" Target="../charts/chart267.xml"/><Relationship Id="rId5" Type="http://schemas.openxmlformats.org/officeDocument/2006/relationships/chart" Target="../charts/chart268.xml"/><Relationship Id="rId6" Type="http://schemas.openxmlformats.org/officeDocument/2006/relationships/chart" Target="../charts/chart269.xml"/><Relationship Id="rId7" Type="http://schemas.openxmlformats.org/officeDocument/2006/relationships/chart" Target="../charts/chart270.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71.xml"/><Relationship Id="rId2" Type="http://schemas.openxmlformats.org/officeDocument/2006/relationships/chart" Target="../charts/chart272.xml"/><Relationship Id="rId3" Type="http://schemas.openxmlformats.org/officeDocument/2006/relationships/chart" Target="../charts/chart273.xml"/><Relationship Id="rId4" Type="http://schemas.openxmlformats.org/officeDocument/2006/relationships/chart" Target="../charts/chart274.xml"/><Relationship Id="rId5" Type="http://schemas.openxmlformats.org/officeDocument/2006/relationships/chart" Target="../charts/chart275.xml"/><Relationship Id="rId6" Type="http://schemas.openxmlformats.org/officeDocument/2006/relationships/chart" Target="../charts/chart276.xml"/><Relationship Id="rId7" Type="http://schemas.openxmlformats.org/officeDocument/2006/relationships/chart" Target="../charts/chart277.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278.xml"/><Relationship Id="rId2" Type="http://schemas.openxmlformats.org/officeDocument/2006/relationships/chart" Target="../charts/chart279.xml"/><Relationship Id="rId3" Type="http://schemas.openxmlformats.org/officeDocument/2006/relationships/chart" Target="../charts/chart280.xml"/><Relationship Id="rId4" Type="http://schemas.openxmlformats.org/officeDocument/2006/relationships/chart" Target="../charts/chart281.xml"/><Relationship Id="rId5" Type="http://schemas.openxmlformats.org/officeDocument/2006/relationships/chart" Target="../charts/chart282.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83.xml"/><Relationship Id="rId2" Type="http://schemas.openxmlformats.org/officeDocument/2006/relationships/chart" Target="../charts/chart284.xml"/><Relationship Id="rId3" Type="http://schemas.openxmlformats.org/officeDocument/2006/relationships/chart" Target="../charts/chart285.xml"/><Relationship Id="rId4" Type="http://schemas.openxmlformats.org/officeDocument/2006/relationships/chart" Target="../charts/chart286.xml"/><Relationship Id="rId5" Type="http://schemas.openxmlformats.org/officeDocument/2006/relationships/chart" Target="../charts/chart287.xml"/><Relationship Id="rId6" Type="http://schemas.openxmlformats.org/officeDocument/2006/relationships/chart" Target="../charts/chart288.xml"/><Relationship Id="rId7" Type="http://schemas.openxmlformats.org/officeDocument/2006/relationships/chart" Target="../charts/chart289.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290.xml"/><Relationship Id="rId2" Type="http://schemas.openxmlformats.org/officeDocument/2006/relationships/chart" Target="../charts/chart291.xml"/><Relationship Id="rId3" Type="http://schemas.openxmlformats.org/officeDocument/2006/relationships/chart" Target="../charts/chart292.xml"/><Relationship Id="rId4" Type="http://schemas.openxmlformats.org/officeDocument/2006/relationships/chart" Target="../charts/chart293.xml"/><Relationship Id="rId5" Type="http://schemas.openxmlformats.org/officeDocument/2006/relationships/chart" Target="../charts/chart294.xml"/><Relationship Id="rId6" Type="http://schemas.openxmlformats.org/officeDocument/2006/relationships/chart" Target="../charts/chart295.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96.xml"/><Relationship Id="rId2" Type="http://schemas.openxmlformats.org/officeDocument/2006/relationships/chart" Target="../charts/chart297.xml"/><Relationship Id="rId3" Type="http://schemas.openxmlformats.org/officeDocument/2006/relationships/chart" Target="../charts/chart298.xml"/><Relationship Id="rId4" Type="http://schemas.openxmlformats.org/officeDocument/2006/relationships/chart" Target="../charts/chart299.xml"/><Relationship Id="rId5" Type="http://schemas.openxmlformats.org/officeDocument/2006/relationships/chart" Target="../charts/chart300.xml"/><Relationship Id="rId6" Type="http://schemas.openxmlformats.org/officeDocument/2006/relationships/chart" Target="../charts/chart301.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302.xml"/><Relationship Id="rId2" Type="http://schemas.openxmlformats.org/officeDocument/2006/relationships/chart" Target="../charts/chart303.xml"/><Relationship Id="rId3" Type="http://schemas.openxmlformats.org/officeDocument/2006/relationships/chart" Target="../charts/chart304.xml"/><Relationship Id="rId4" Type="http://schemas.openxmlformats.org/officeDocument/2006/relationships/chart" Target="../charts/chart305.xml"/><Relationship Id="rId5" Type="http://schemas.openxmlformats.org/officeDocument/2006/relationships/chart" Target="../charts/chart306.xml"/><Relationship Id="rId6" Type="http://schemas.openxmlformats.org/officeDocument/2006/relationships/chart" Target="../charts/chart307.xml"/><Relationship Id="rId7" Type="http://schemas.openxmlformats.org/officeDocument/2006/relationships/chart" Target="../charts/chart308.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309.xml"/><Relationship Id="rId2" Type="http://schemas.openxmlformats.org/officeDocument/2006/relationships/chart" Target="../charts/chart310.xml"/><Relationship Id="rId3" Type="http://schemas.openxmlformats.org/officeDocument/2006/relationships/chart" Target="../charts/chart311.xml"/><Relationship Id="rId4" Type="http://schemas.openxmlformats.org/officeDocument/2006/relationships/chart" Target="../charts/chart312.xml"/><Relationship Id="rId5" Type="http://schemas.openxmlformats.org/officeDocument/2006/relationships/chart" Target="../charts/chart313.xml"/><Relationship Id="rId6" Type="http://schemas.openxmlformats.org/officeDocument/2006/relationships/chart" Target="../charts/chart314.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315.xml"/><Relationship Id="rId2" Type="http://schemas.openxmlformats.org/officeDocument/2006/relationships/chart" Target="../charts/chart316.xml"/><Relationship Id="rId3" Type="http://schemas.openxmlformats.org/officeDocument/2006/relationships/chart" Target="../charts/chart317.xml"/><Relationship Id="rId4" Type="http://schemas.openxmlformats.org/officeDocument/2006/relationships/chart" Target="../charts/chart318.xml"/><Relationship Id="rId5" Type="http://schemas.openxmlformats.org/officeDocument/2006/relationships/chart" Target="../charts/chart319.xml"/><Relationship Id="rId6" Type="http://schemas.openxmlformats.org/officeDocument/2006/relationships/chart" Target="../charts/chart320.xml"/><Relationship Id="rId7" Type="http://schemas.openxmlformats.org/officeDocument/2006/relationships/chart" Target="../charts/chart321.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322.xml"/><Relationship Id="rId2" Type="http://schemas.openxmlformats.org/officeDocument/2006/relationships/chart" Target="../charts/chart323.xml"/><Relationship Id="rId3" Type="http://schemas.openxmlformats.org/officeDocument/2006/relationships/chart" Target="../charts/chart324.xml"/><Relationship Id="rId4" Type="http://schemas.openxmlformats.org/officeDocument/2006/relationships/chart" Target="../charts/chart325.xml"/><Relationship Id="rId5" Type="http://schemas.openxmlformats.org/officeDocument/2006/relationships/chart" Target="../charts/chart326.xml"/><Relationship Id="rId6" Type="http://schemas.openxmlformats.org/officeDocument/2006/relationships/chart" Target="../charts/chart327.xml"/><Relationship Id="rId7" Type="http://schemas.openxmlformats.org/officeDocument/2006/relationships/chart" Target="../charts/chart328.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329.xml"/><Relationship Id="rId2" Type="http://schemas.openxmlformats.org/officeDocument/2006/relationships/chart" Target="../charts/chart330.xml"/><Relationship Id="rId3" Type="http://schemas.openxmlformats.org/officeDocument/2006/relationships/chart" Target="../charts/chart331.xml"/><Relationship Id="rId4" Type="http://schemas.openxmlformats.org/officeDocument/2006/relationships/chart" Target="../charts/chart332.xml"/><Relationship Id="rId5" Type="http://schemas.openxmlformats.org/officeDocument/2006/relationships/chart" Target="../charts/chart333.xml"/><Relationship Id="rId6" Type="http://schemas.openxmlformats.org/officeDocument/2006/relationships/chart" Target="../charts/chart334.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35.xml"/><Relationship Id="rId2" Type="http://schemas.openxmlformats.org/officeDocument/2006/relationships/chart" Target="../charts/chart336.xml"/><Relationship Id="rId3" Type="http://schemas.openxmlformats.org/officeDocument/2006/relationships/chart" Target="../charts/chart337.xml"/><Relationship Id="rId4" Type="http://schemas.openxmlformats.org/officeDocument/2006/relationships/chart" Target="../charts/chart338.xml"/><Relationship Id="rId5" Type="http://schemas.openxmlformats.org/officeDocument/2006/relationships/chart" Target="../charts/chart339.xml"/><Relationship Id="rId6" Type="http://schemas.openxmlformats.org/officeDocument/2006/relationships/chart" Target="../charts/chart340.xml"/><Relationship Id="rId7" Type="http://schemas.openxmlformats.org/officeDocument/2006/relationships/chart" Target="../charts/chart341.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342.xml"/><Relationship Id="rId2" Type="http://schemas.openxmlformats.org/officeDocument/2006/relationships/chart" Target="../charts/chart343.xml"/><Relationship Id="rId3" Type="http://schemas.openxmlformats.org/officeDocument/2006/relationships/chart" Target="../charts/chart344.xml"/><Relationship Id="rId4" Type="http://schemas.openxmlformats.org/officeDocument/2006/relationships/chart" Target="../charts/chart345.xml"/><Relationship Id="rId5" Type="http://schemas.openxmlformats.org/officeDocument/2006/relationships/chart" Target="../charts/chart346.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347.xml"/><Relationship Id="rId2" Type="http://schemas.openxmlformats.org/officeDocument/2006/relationships/chart" Target="../charts/chart348.xml"/><Relationship Id="rId3" Type="http://schemas.openxmlformats.org/officeDocument/2006/relationships/chart" Target="../charts/chart349.xml"/><Relationship Id="rId4" Type="http://schemas.openxmlformats.org/officeDocument/2006/relationships/chart" Target="../charts/chart350.xml"/><Relationship Id="rId5" Type="http://schemas.openxmlformats.org/officeDocument/2006/relationships/chart" Target="../charts/chart351.xml"/><Relationship Id="rId6" Type="http://schemas.openxmlformats.org/officeDocument/2006/relationships/chart" Target="../charts/chart352.xml"/><Relationship Id="rId7" Type="http://schemas.openxmlformats.org/officeDocument/2006/relationships/chart" Target="../charts/chart353.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354.xml"/><Relationship Id="rId2" Type="http://schemas.openxmlformats.org/officeDocument/2006/relationships/chart" Target="../charts/chart355.xml"/><Relationship Id="rId3" Type="http://schemas.openxmlformats.org/officeDocument/2006/relationships/chart" Target="../charts/chart356.xml"/><Relationship Id="rId4" Type="http://schemas.openxmlformats.org/officeDocument/2006/relationships/chart" Target="../charts/chart357.xml"/><Relationship Id="rId5" Type="http://schemas.openxmlformats.org/officeDocument/2006/relationships/chart" Target="../charts/chart358.xml"/><Relationship Id="rId6" Type="http://schemas.openxmlformats.org/officeDocument/2006/relationships/chart" Target="../charts/chart359.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360.xml"/><Relationship Id="rId2" Type="http://schemas.openxmlformats.org/officeDocument/2006/relationships/chart" Target="../charts/chart361.xml"/><Relationship Id="rId3" Type="http://schemas.openxmlformats.org/officeDocument/2006/relationships/chart" Target="../charts/chart362.xml"/><Relationship Id="rId4" Type="http://schemas.openxmlformats.org/officeDocument/2006/relationships/chart" Target="../charts/chart363.xml"/><Relationship Id="rId5" Type="http://schemas.openxmlformats.org/officeDocument/2006/relationships/chart" Target="../charts/chart364.xml"/><Relationship Id="rId6" Type="http://schemas.openxmlformats.org/officeDocument/2006/relationships/chart" Target="../charts/chart365.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366.xml"/><Relationship Id="rId2" Type="http://schemas.openxmlformats.org/officeDocument/2006/relationships/chart" Target="../charts/chart367.xml"/><Relationship Id="rId3" Type="http://schemas.openxmlformats.org/officeDocument/2006/relationships/chart" Target="../charts/chart368.xml"/><Relationship Id="rId4" Type="http://schemas.openxmlformats.org/officeDocument/2006/relationships/chart" Target="../charts/chart369.xml"/><Relationship Id="rId5" Type="http://schemas.openxmlformats.org/officeDocument/2006/relationships/chart" Target="../charts/chart370.xml"/><Relationship Id="rId6" Type="http://schemas.openxmlformats.org/officeDocument/2006/relationships/chart" Target="../charts/chart371.xml"/><Relationship Id="rId7" Type="http://schemas.openxmlformats.org/officeDocument/2006/relationships/chart" Target="../charts/chart372.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373.xml"/><Relationship Id="rId2" Type="http://schemas.openxmlformats.org/officeDocument/2006/relationships/chart" Target="../charts/chart374.xml"/><Relationship Id="rId3" Type="http://schemas.openxmlformats.org/officeDocument/2006/relationships/chart" Target="../charts/chart375.xml"/><Relationship Id="rId4" Type="http://schemas.openxmlformats.org/officeDocument/2006/relationships/chart" Target="../charts/chart376.xml"/><Relationship Id="rId5" Type="http://schemas.openxmlformats.org/officeDocument/2006/relationships/chart" Target="../charts/chart377.xml"/><Relationship Id="rId6" Type="http://schemas.openxmlformats.org/officeDocument/2006/relationships/chart" Target="../charts/chart378.xml"/><Relationship Id="rId7" Type="http://schemas.openxmlformats.org/officeDocument/2006/relationships/chart" Target="../charts/chart379.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380.xml"/><Relationship Id="rId2" Type="http://schemas.openxmlformats.org/officeDocument/2006/relationships/chart" Target="../charts/chart381.xml"/><Relationship Id="rId3" Type="http://schemas.openxmlformats.org/officeDocument/2006/relationships/chart" Target="../charts/chart382.xml"/><Relationship Id="rId4" Type="http://schemas.openxmlformats.org/officeDocument/2006/relationships/chart" Target="../charts/chart383.xml"/><Relationship Id="rId5" Type="http://schemas.openxmlformats.org/officeDocument/2006/relationships/chart" Target="../charts/chart384.xml"/><Relationship Id="rId6" Type="http://schemas.openxmlformats.org/officeDocument/2006/relationships/chart" Target="../charts/chart385.xml"/><Relationship Id="rId7" Type="http://schemas.openxmlformats.org/officeDocument/2006/relationships/chart" Target="../charts/chart386.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387.xml"/><Relationship Id="rId2" Type="http://schemas.openxmlformats.org/officeDocument/2006/relationships/chart" Target="../charts/chart388.xml"/><Relationship Id="rId3" Type="http://schemas.openxmlformats.org/officeDocument/2006/relationships/chart" Target="../charts/chart389.xml"/><Relationship Id="rId4" Type="http://schemas.openxmlformats.org/officeDocument/2006/relationships/chart" Target="../charts/chart390.xml"/><Relationship Id="rId5" Type="http://schemas.openxmlformats.org/officeDocument/2006/relationships/chart" Target="../charts/chart391.xml"/><Relationship Id="rId6" Type="http://schemas.openxmlformats.org/officeDocument/2006/relationships/chart" Target="../charts/chart392.xml"/><Relationship Id="rId7" Type="http://schemas.openxmlformats.org/officeDocument/2006/relationships/chart" Target="../charts/chart393.xml"/><Relationship Id="rId8" Type="http://schemas.openxmlformats.org/officeDocument/2006/relationships/chart" Target="../charts/chart394.xml"/></Relationships>
</file>

<file path=xl/drawings/_rels/drawing68.xml.rels><?xml version="1.0" encoding="UTF-8" standalone="yes"?><Relationships xmlns="http://schemas.openxmlformats.org/package/2006/relationships"><Relationship Id="rId1" Type="http://schemas.openxmlformats.org/officeDocument/2006/relationships/chart" Target="../charts/chart395.xml"/><Relationship Id="rId2" Type="http://schemas.openxmlformats.org/officeDocument/2006/relationships/chart" Target="../charts/chart396.xml"/><Relationship Id="rId3" Type="http://schemas.openxmlformats.org/officeDocument/2006/relationships/chart" Target="../charts/chart397.xml"/><Relationship Id="rId4" Type="http://schemas.openxmlformats.org/officeDocument/2006/relationships/chart" Target="../charts/chart398.xml"/><Relationship Id="rId5" Type="http://schemas.openxmlformats.org/officeDocument/2006/relationships/chart" Target="../charts/chart399.xml"/><Relationship Id="rId6" Type="http://schemas.openxmlformats.org/officeDocument/2006/relationships/chart" Target="../charts/chart400.xml"/><Relationship Id="rId7" Type="http://schemas.openxmlformats.org/officeDocument/2006/relationships/chart" Target="../charts/chart401.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402.xml"/><Relationship Id="rId2" Type="http://schemas.openxmlformats.org/officeDocument/2006/relationships/chart" Target="../charts/chart403.xml"/><Relationship Id="rId3" Type="http://schemas.openxmlformats.org/officeDocument/2006/relationships/chart" Target="../charts/chart404.xml"/><Relationship Id="rId4" Type="http://schemas.openxmlformats.org/officeDocument/2006/relationships/chart" Target="../charts/chart405.xml"/><Relationship Id="rId5" Type="http://schemas.openxmlformats.org/officeDocument/2006/relationships/chart" Target="../charts/chart406.xml"/><Relationship Id="rId6" Type="http://schemas.openxmlformats.org/officeDocument/2006/relationships/chart" Target="../charts/chart407.xml"/><Relationship Id="rId7" Type="http://schemas.openxmlformats.org/officeDocument/2006/relationships/chart" Target="../charts/chart408.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409.xml"/><Relationship Id="rId2" Type="http://schemas.openxmlformats.org/officeDocument/2006/relationships/chart" Target="../charts/chart410.xml"/><Relationship Id="rId3" Type="http://schemas.openxmlformats.org/officeDocument/2006/relationships/chart" Target="../charts/chart411.xml"/><Relationship Id="rId4" Type="http://schemas.openxmlformats.org/officeDocument/2006/relationships/chart" Target="../charts/chart412.xml"/><Relationship Id="rId5" Type="http://schemas.openxmlformats.org/officeDocument/2006/relationships/chart" Target="../charts/chart413.xml"/><Relationship Id="rId6" Type="http://schemas.openxmlformats.org/officeDocument/2006/relationships/chart" Target="../charts/chart414.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415.xml"/><Relationship Id="rId2" Type="http://schemas.openxmlformats.org/officeDocument/2006/relationships/chart" Target="../charts/chart416.xml"/><Relationship Id="rId3" Type="http://schemas.openxmlformats.org/officeDocument/2006/relationships/chart" Target="../charts/chart417.xml"/><Relationship Id="rId4" Type="http://schemas.openxmlformats.org/officeDocument/2006/relationships/chart" Target="../charts/chart418.xml"/><Relationship Id="rId5" Type="http://schemas.openxmlformats.org/officeDocument/2006/relationships/chart" Target="../charts/chart419.xml"/><Relationship Id="rId6" Type="http://schemas.openxmlformats.org/officeDocument/2006/relationships/chart" Target="../charts/chart420.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421.xml"/><Relationship Id="rId2" Type="http://schemas.openxmlformats.org/officeDocument/2006/relationships/chart" Target="../charts/chart422.xml"/><Relationship Id="rId3" Type="http://schemas.openxmlformats.org/officeDocument/2006/relationships/chart" Target="../charts/chart423.xml"/><Relationship Id="rId4" Type="http://schemas.openxmlformats.org/officeDocument/2006/relationships/chart" Target="../charts/chart424.xml"/><Relationship Id="rId5" Type="http://schemas.openxmlformats.org/officeDocument/2006/relationships/chart" Target="../charts/chart425.xml"/><Relationship Id="rId6" Type="http://schemas.openxmlformats.org/officeDocument/2006/relationships/chart" Target="../charts/chart426.xml"/><Relationship Id="rId7" Type="http://schemas.openxmlformats.org/officeDocument/2006/relationships/chart" Target="../charts/chart427.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428.xml"/><Relationship Id="rId2" Type="http://schemas.openxmlformats.org/officeDocument/2006/relationships/chart" Target="../charts/chart429.xml"/><Relationship Id="rId3" Type="http://schemas.openxmlformats.org/officeDocument/2006/relationships/chart" Target="../charts/chart430.xml"/><Relationship Id="rId4" Type="http://schemas.openxmlformats.org/officeDocument/2006/relationships/chart" Target="../charts/chart431.xml"/><Relationship Id="rId5" Type="http://schemas.openxmlformats.org/officeDocument/2006/relationships/chart" Target="../charts/chart432.xml"/><Relationship Id="rId6" Type="http://schemas.openxmlformats.org/officeDocument/2006/relationships/chart" Target="../charts/chart433.xml"/><Relationship Id="rId7" Type="http://schemas.openxmlformats.org/officeDocument/2006/relationships/chart" Target="../charts/chart434.xml"/></Relationships>
</file>

<file path=xl/drawings/_rels/drawing74.xml.rels><?xml version="1.0" encoding="UTF-8" standalone="yes"?><Relationships xmlns="http://schemas.openxmlformats.org/package/2006/relationships"><Relationship Id="rId1" Type="http://schemas.openxmlformats.org/officeDocument/2006/relationships/chart" Target="../charts/chart435.xml"/><Relationship Id="rId2" Type="http://schemas.openxmlformats.org/officeDocument/2006/relationships/chart" Target="../charts/chart436.xml"/><Relationship Id="rId3" Type="http://schemas.openxmlformats.org/officeDocument/2006/relationships/chart" Target="../charts/chart437.xml"/><Relationship Id="rId4" Type="http://schemas.openxmlformats.org/officeDocument/2006/relationships/chart" Target="../charts/chart438.xml"/><Relationship Id="rId5" Type="http://schemas.openxmlformats.org/officeDocument/2006/relationships/chart" Target="../charts/chart439.xml"/><Relationship Id="rId6" Type="http://schemas.openxmlformats.org/officeDocument/2006/relationships/chart" Target="../charts/chart440.xml"/><Relationship Id="rId7" Type="http://schemas.openxmlformats.org/officeDocument/2006/relationships/chart" Target="../charts/chart441.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442.xml"/><Relationship Id="rId2" Type="http://schemas.openxmlformats.org/officeDocument/2006/relationships/chart" Target="../charts/chart443.xml"/><Relationship Id="rId3" Type="http://schemas.openxmlformats.org/officeDocument/2006/relationships/chart" Target="../charts/chart444.xml"/><Relationship Id="rId4" Type="http://schemas.openxmlformats.org/officeDocument/2006/relationships/chart" Target="../charts/chart445.xml"/><Relationship Id="rId5" Type="http://schemas.openxmlformats.org/officeDocument/2006/relationships/chart" Target="../charts/chart446.xml"/><Relationship Id="rId6" Type="http://schemas.openxmlformats.org/officeDocument/2006/relationships/chart" Target="../charts/chart447.xml"/><Relationship Id="rId7" Type="http://schemas.openxmlformats.org/officeDocument/2006/relationships/chart" Target="../charts/chart448.xml"/></Relationships>
</file>

<file path=xl/drawings/_rels/drawing76.xml.rels><?xml version="1.0" encoding="UTF-8" standalone="yes"?><Relationships xmlns="http://schemas.openxmlformats.org/package/2006/relationships"><Relationship Id="rId1" Type="http://schemas.openxmlformats.org/officeDocument/2006/relationships/chart" Target="../charts/chart449.xml"/><Relationship Id="rId2" Type="http://schemas.openxmlformats.org/officeDocument/2006/relationships/chart" Target="../charts/chart450.xml"/><Relationship Id="rId3" Type="http://schemas.openxmlformats.org/officeDocument/2006/relationships/chart" Target="../charts/chart451.xml"/><Relationship Id="rId4" Type="http://schemas.openxmlformats.org/officeDocument/2006/relationships/chart" Target="../charts/chart452.xml"/><Relationship Id="rId5" Type="http://schemas.openxmlformats.org/officeDocument/2006/relationships/chart" Target="../charts/chart453.xml"/><Relationship Id="rId6" Type="http://schemas.openxmlformats.org/officeDocument/2006/relationships/chart" Target="../charts/chart454.xml"/><Relationship Id="rId7" Type="http://schemas.openxmlformats.org/officeDocument/2006/relationships/chart" Target="../charts/chart455.xml"/></Relationships>
</file>

<file path=xl/drawings/_rels/drawing78.xml.rels><?xml version="1.0" encoding="UTF-8" standalone="yes"?><Relationships xmlns="http://schemas.openxmlformats.org/package/2006/relationships"><Relationship Id="rId1" Type="http://schemas.openxmlformats.org/officeDocument/2006/relationships/chart" Target="../charts/chart456.xml"/><Relationship Id="rId2" Type="http://schemas.openxmlformats.org/officeDocument/2006/relationships/chart" Target="../charts/chart457.xml"/><Relationship Id="rId3" Type="http://schemas.openxmlformats.org/officeDocument/2006/relationships/chart" Target="../charts/chart458.xml"/><Relationship Id="rId4" Type="http://schemas.openxmlformats.org/officeDocument/2006/relationships/chart" Target="../charts/chart459.xml"/><Relationship Id="rId5" Type="http://schemas.openxmlformats.org/officeDocument/2006/relationships/chart" Target="../charts/chart460.xml"/><Relationship Id="rId6" Type="http://schemas.openxmlformats.org/officeDocument/2006/relationships/chart" Target="../charts/chart461.xml"/><Relationship Id="rId7" Type="http://schemas.openxmlformats.org/officeDocument/2006/relationships/chart" Target="../charts/chart462.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463.xml"/><Relationship Id="rId2" Type="http://schemas.openxmlformats.org/officeDocument/2006/relationships/chart" Target="../charts/chart464.xml"/><Relationship Id="rId3" Type="http://schemas.openxmlformats.org/officeDocument/2006/relationships/chart" Target="../charts/chart465.xml"/><Relationship Id="rId4" Type="http://schemas.openxmlformats.org/officeDocument/2006/relationships/chart" Target="../charts/chart466.xml"/><Relationship Id="rId5" Type="http://schemas.openxmlformats.org/officeDocument/2006/relationships/chart" Target="../charts/chart467.xml"/></Relationships>
</file>

<file path=xl/drawings/_rels/drawing80.xml.rels><?xml version="1.0" encoding="UTF-8" standalone="yes"?><Relationships xmlns="http://schemas.openxmlformats.org/package/2006/relationships"><Relationship Id="rId11" Type="http://schemas.openxmlformats.org/officeDocument/2006/relationships/chart" Target="../charts/chart478.xml"/><Relationship Id="rId10" Type="http://schemas.openxmlformats.org/officeDocument/2006/relationships/chart" Target="../charts/chart477.xml"/><Relationship Id="rId13" Type="http://schemas.openxmlformats.org/officeDocument/2006/relationships/chart" Target="../charts/chart480.xml"/><Relationship Id="rId12" Type="http://schemas.openxmlformats.org/officeDocument/2006/relationships/chart" Target="../charts/chart479.xml"/><Relationship Id="rId1" Type="http://schemas.openxmlformats.org/officeDocument/2006/relationships/chart" Target="../charts/chart468.xml"/><Relationship Id="rId2" Type="http://schemas.openxmlformats.org/officeDocument/2006/relationships/chart" Target="../charts/chart469.xml"/><Relationship Id="rId3" Type="http://schemas.openxmlformats.org/officeDocument/2006/relationships/chart" Target="../charts/chart470.xml"/><Relationship Id="rId4" Type="http://schemas.openxmlformats.org/officeDocument/2006/relationships/chart" Target="../charts/chart471.xml"/><Relationship Id="rId9" Type="http://schemas.openxmlformats.org/officeDocument/2006/relationships/chart" Target="../charts/chart476.xml"/><Relationship Id="rId5" Type="http://schemas.openxmlformats.org/officeDocument/2006/relationships/chart" Target="../charts/chart472.xml"/><Relationship Id="rId6" Type="http://schemas.openxmlformats.org/officeDocument/2006/relationships/chart" Target="../charts/chart473.xml"/><Relationship Id="rId7" Type="http://schemas.openxmlformats.org/officeDocument/2006/relationships/chart" Target="../charts/chart474.xml"/><Relationship Id="rId8" Type="http://schemas.openxmlformats.org/officeDocument/2006/relationships/chart" Target="../charts/chart475.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481.xml"/><Relationship Id="rId2" Type="http://schemas.openxmlformats.org/officeDocument/2006/relationships/chart" Target="../charts/chart482.xml"/><Relationship Id="rId3" Type="http://schemas.openxmlformats.org/officeDocument/2006/relationships/chart" Target="../charts/chart483.xml"/><Relationship Id="rId4" Type="http://schemas.openxmlformats.org/officeDocument/2006/relationships/chart" Target="../charts/chart484.xml"/><Relationship Id="rId9" Type="http://schemas.openxmlformats.org/officeDocument/2006/relationships/chart" Target="../charts/chart489.xml"/><Relationship Id="rId5" Type="http://schemas.openxmlformats.org/officeDocument/2006/relationships/chart" Target="../charts/chart485.xml"/><Relationship Id="rId6" Type="http://schemas.openxmlformats.org/officeDocument/2006/relationships/chart" Target="../charts/chart486.xml"/><Relationship Id="rId7" Type="http://schemas.openxmlformats.org/officeDocument/2006/relationships/chart" Target="../charts/chart487.xml"/><Relationship Id="rId8" Type="http://schemas.openxmlformats.org/officeDocument/2006/relationships/chart" Target="../charts/chart488.xml"/></Relationships>
</file>

<file path=xl/drawings/_rels/drawing82.xml.rels><?xml version="1.0" encoding="UTF-8" standalone="yes"?><Relationships xmlns="http://schemas.openxmlformats.org/package/2006/relationships"><Relationship Id="rId1" Type="http://schemas.openxmlformats.org/officeDocument/2006/relationships/chart" Target="../charts/chart490.xml"/><Relationship Id="rId2" Type="http://schemas.openxmlformats.org/officeDocument/2006/relationships/chart" Target="../charts/chart491.xml"/><Relationship Id="rId3" Type="http://schemas.openxmlformats.org/officeDocument/2006/relationships/chart" Target="../charts/chart492.xml"/><Relationship Id="rId4" Type="http://schemas.openxmlformats.org/officeDocument/2006/relationships/chart" Target="../charts/chart493.xml"/><Relationship Id="rId5" Type="http://schemas.openxmlformats.org/officeDocument/2006/relationships/chart" Target="../charts/chart494.xml"/><Relationship Id="rId6" Type="http://schemas.openxmlformats.org/officeDocument/2006/relationships/chart" Target="../charts/chart495.xml"/><Relationship Id="rId7" Type="http://schemas.openxmlformats.org/officeDocument/2006/relationships/chart" Target="../charts/chart496.xml"/><Relationship Id="rId8" Type="http://schemas.openxmlformats.org/officeDocument/2006/relationships/chart" Target="../charts/chart49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933450</xdr:colOff>
      <xdr:row>0</xdr:row>
      <xdr:rowOff>0</xdr:rowOff>
    </xdr:from>
    <xdr:ext cx="4762500" cy="28575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13</xdr:row>
      <xdr:rowOff>133350</xdr:rowOff>
    </xdr:from>
    <xdr:ext cx="8820150" cy="53054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2838450</xdr:colOff>
      <xdr:row>0</xdr:row>
      <xdr:rowOff>0</xdr:rowOff>
    </xdr:from>
    <xdr:ext cx="4038600" cy="28575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885825</xdr:colOff>
      <xdr:row>0</xdr:row>
      <xdr:rowOff>0</xdr:rowOff>
    </xdr:from>
    <xdr:ext cx="5715000" cy="371475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914400</xdr:colOff>
      <xdr:row>0</xdr:row>
      <xdr:rowOff>0</xdr:rowOff>
    </xdr:from>
    <xdr:ext cx="4762500" cy="2857500"/>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914400</xdr:colOff>
      <xdr:row>14</xdr:row>
      <xdr:rowOff>28575</xdr:rowOff>
    </xdr:from>
    <xdr:ext cx="9505950" cy="5705475"/>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238125</xdr:colOff>
      <xdr:row>0</xdr:row>
      <xdr:rowOff>0</xdr:rowOff>
    </xdr:from>
    <xdr:ext cx="4686300" cy="280987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1" name="Chart 1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2" name="Chart 1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3" name="Chart 1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933450</xdr:colOff>
      <xdr:row>0</xdr:row>
      <xdr:rowOff>0</xdr:rowOff>
    </xdr:from>
    <xdr:ext cx="4762500" cy="2857500"/>
    <xdr:graphicFrame>
      <xdr:nvGraphicFramePr>
        <xdr:cNvPr id="14" name="Chart 1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13</xdr:row>
      <xdr:rowOff>200025</xdr:rowOff>
    </xdr:from>
    <xdr:ext cx="8820150" cy="5295900"/>
    <xdr:graphicFrame>
      <xdr:nvGraphicFramePr>
        <xdr:cNvPr id="15" name="Chart 1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2847975</xdr:colOff>
      <xdr:row>0</xdr:row>
      <xdr:rowOff>0</xdr:rowOff>
    </xdr:from>
    <xdr:ext cx="4029075" cy="2857500"/>
    <xdr:graphicFrame>
      <xdr:nvGraphicFramePr>
        <xdr:cNvPr id="16" name="Chart 1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7" name="Chart 1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8" name="Chart 1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9" name="Chart 19"/>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0</xdr:colOff>
      <xdr:row>0</xdr:row>
      <xdr:rowOff>0</xdr:rowOff>
    </xdr:from>
    <xdr:ext cx="4762500" cy="2857500"/>
    <xdr:graphicFrame>
      <xdr:nvGraphicFramePr>
        <xdr:cNvPr id="20" name="Chart 2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0</xdr:colOff>
      <xdr:row>13</xdr:row>
      <xdr:rowOff>133350</xdr:rowOff>
    </xdr:from>
    <xdr:ext cx="8820150" cy="5295900"/>
    <xdr:graphicFrame>
      <xdr:nvGraphicFramePr>
        <xdr:cNvPr id="21" name="Chart 2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2867025</xdr:colOff>
      <xdr:row>0</xdr:row>
      <xdr:rowOff>0</xdr:rowOff>
    </xdr:from>
    <xdr:ext cx="4029075" cy="2857500"/>
    <xdr:graphicFrame>
      <xdr:nvGraphicFramePr>
        <xdr:cNvPr id="22" name="Chart 22"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3" name="Chart 2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923925</xdr:colOff>
      <xdr:row>0</xdr:row>
      <xdr:rowOff>0</xdr:rowOff>
    </xdr:from>
    <xdr:ext cx="4762500" cy="2857500"/>
    <xdr:graphicFrame>
      <xdr:nvGraphicFramePr>
        <xdr:cNvPr id="24" name="Chart 2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923925</xdr:colOff>
      <xdr:row>13</xdr:row>
      <xdr:rowOff>190500</xdr:rowOff>
    </xdr:from>
    <xdr:ext cx="9515475" cy="5734050"/>
    <xdr:graphicFrame>
      <xdr:nvGraphicFramePr>
        <xdr:cNvPr id="25" name="Chart 2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2800350</xdr:colOff>
      <xdr:row>0</xdr:row>
      <xdr:rowOff>0</xdr:rowOff>
    </xdr:from>
    <xdr:ext cx="4762500" cy="2857500"/>
    <xdr:graphicFrame>
      <xdr:nvGraphicFramePr>
        <xdr:cNvPr id="26" name="Chart 26"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7" name="Chart 2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8" name="Chart 2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9" name="Chart 29"/>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0" name="Chart 30"/>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31" name="Chart 31"/>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9525</xdr:colOff>
      <xdr:row>0</xdr:row>
      <xdr:rowOff>0</xdr:rowOff>
    </xdr:from>
    <xdr:ext cx="4762500" cy="2857500"/>
    <xdr:graphicFrame>
      <xdr:nvGraphicFramePr>
        <xdr:cNvPr id="32" name="Chart 3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7</xdr:col>
      <xdr:colOff>9525</xdr:colOff>
      <xdr:row>13</xdr:row>
      <xdr:rowOff>200025</xdr:rowOff>
    </xdr:from>
    <xdr:ext cx="9467850" cy="5686425"/>
    <xdr:graphicFrame>
      <xdr:nvGraphicFramePr>
        <xdr:cNvPr id="33" name="Chart 3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2867025</xdr:colOff>
      <xdr:row>0</xdr:row>
      <xdr:rowOff>0</xdr:rowOff>
    </xdr:from>
    <xdr:ext cx="4762500" cy="2857500"/>
    <xdr:graphicFrame>
      <xdr:nvGraphicFramePr>
        <xdr:cNvPr id="34" name="Chart 34"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5" name="Chart 3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6" name="Chart 3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7" name="Chart 3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8" name="Chart 38"/>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19050</xdr:colOff>
      <xdr:row>0</xdr:row>
      <xdr:rowOff>0</xdr:rowOff>
    </xdr:from>
    <xdr:ext cx="4762500" cy="2857500"/>
    <xdr:graphicFrame>
      <xdr:nvGraphicFramePr>
        <xdr:cNvPr id="39" name="Chart 3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19050</xdr:colOff>
      <xdr:row>13</xdr:row>
      <xdr:rowOff>200025</xdr:rowOff>
    </xdr:from>
    <xdr:ext cx="9629775" cy="5781675"/>
    <xdr:graphicFrame>
      <xdr:nvGraphicFramePr>
        <xdr:cNvPr id="40" name="Chart 4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2943225</xdr:colOff>
      <xdr:row>0</xdr:row>
      <xdr:rowOff>0</xdr:rowOff>
    </xdr:from>
    <xdr:ext cx="4762500" cy="2857500"/>
    <xdr:graphicFrame>
      <xdr:nvGraphicFramePr>
        <xdr:cNvPr id="41" name="Chart 41"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xdr:colOff>
      <xdr:row>0</xdr:row>
      <xdr:rowOff>0</xdr:rowOff>
    </xdr:from>
    <xdr:ext cx="5715000" cy="3333750"/>
    <xdr:graphicFrame>
      <xdr:nvGraphicFramePr>
        <xdr:cNvPr id="42" name="Chart 4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38100</xdr:colOff>
      <xdr:row>0</xdr:row>
      <xdr:rowOff>0</xdr:rowOff>
    </xdr:from>
    <xdr:ext cx="4762500" cy="2857500"/>
    <xdr:graphicFrame>
      <xdr:nvGraphicFramePr>
        <xdr:cNvPr id="43" name="Chart 4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38100</xdr:colOff>
      <xdr:row>14</xdr:row>
      <xdr:rowOff>19050</xdr:rowOff>
    </xdr:from>
    <xdr:ext cx="9601200" cy="5753100"/>
    <xdr:graphicFrame>
      <xdr:nvGraphicFramePr>
        <xdr:cNvPr id="44" name="Chart 4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3914775</xdr:colOff>
      <xdr:row>0</xdr:row>
      <xdr:rowOff>0</xdr:rowOff>
    </xdr:from>
    <xdr:ext cx="4762500" cy="2857500"/>
    <xdr:graphicFrame>
      <xdr:nvGraphicFramePr>
        <xdr:cNvPr id="45" name="Chart 45"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0</xdr:row>
      <xdr:rowOff>0</xdr:rowOff>
    </xdr:from>
    <xdr:ext cx="5715000" cy="3333750"/>
    <xdr:graphicFrame>
      <xdr:nvGraphicFramePr>
        <xdr:cNvPr id="46" name="Chart 4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1019175</xdr:colOff>
      <xdr:row>0</xdr:row>
      <xdr:rowOff>0</xdr:rowOff>
    </xdr:from>
    <xdr:ext cx="4762500" cy="2857500"/>
    <xdr:graphicFrame>
      <xdr:nvGraphicFramePr>
        <xdr:cNvPr id="47" name="Chart 4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1019175</xdr:colOff>
      <xdr:row>14</xdr:row>
      <xdr:rowOff>19050</xdr:rowOff>
    </xdr:from>
    <xdr:ext cx="9515475" cy="5715000"/>
    <xdr:graphicFrame>
      <xdr:nvGraphicFramePr>
        <xdr:cNvPr id="48" name="Chart 4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400050</xdr:colOff>
      <xdr:row>0</xdr:row>
      <xdr:rowOff>0</xdr:rowOff>
    </xdr:from>
    <xdr:ext cx="4762500" cy="2857500"/>
    <xdr:graphicFrame>
      <xdr:nvGraphicFramePr>
        <xdr:cNvPr id="49" name="Chart 49"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19</xdr:row>
      <xdr:rowOff>0</xdr:rowOff>
    </xdr:from>
    <xdr:ext cx="5715000" cy="3333750"/>
    <xdr:graphicFrame>
      <xdr:nvGraphicFramePr>
        <xdr:cNvPr id="50" name="Chart 50"/>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952500</xdr:colOff>
      <xdr:row>0</xdr:row>
      <xdr:rowOff>0</xdr:rowOff>
    </xdr:from>
    <xdr:ext cx="4762500" cy="2857500"/>
    <xdr:graphicFrame>
      <xdr:nvGraphicFramePr>
        <xdr:cNvPr id="51" name="Chart 5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0</xdr:colOff>
      <xdr:row>14</xdr:row>
      <xdr:rowOff>19050</xdr:rowOff>
    </xdr:from>
    <xdr:ext cx="8362950" cy="5019675"/>
    <xdr:graphicFrame>
      <xdr:nvGraphicFramePr>
        <xdr:cNvPr id="52" name="Chart 5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266700</xdr:colOff>
      <xdr:row>0</xdr:row>
      <xdr:rowOff>0</xdr:rowOff>
    </xdr:from>
    <xdr:ext cx="3619500" cy="2857500"/>
    <xdr:graphicFrame>
      <xdr:nvGraphicFramePr>
        <xdr:cNvPr id="53" name="Chart 53"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809625</xdr:colOff>
      <xdr:row>0</xdr:row>
      <xdr:rowOff>0</xdr:rowOff>
    </xdr:from>
    <xdr:ext cx="5715000" cy="3333750"/>
    <xdr:graphicFrame>
      <xdr:nvGraphicFramePr>
        <xdr:cNvPr id="54" name="Chart 5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914400</xdr:colOff>
      <xdr:row>0</xdr:row>
      <xdr:rowOff>0</xdr:rowOff>
    </xdr:from>
    <xdr:ext cx="4762500" cy="2857500"/>
    <xdr:graphicFrame>
      <xdr:nvGraphicFramePr>
        <xdr:cNvPr id="55" name="Chart 5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914400</xdr:colOff>
      <xdr:row>14</xdr:row>
      <xdr:rowOff>57150</xdr:rowOff>
    </xdr:from>
    <xdr:ext cx="9734550" cy="5857875"/>
    <xdr:graphicFrame>
      <xdr:nvGraphicFramePr>
        <xdr:cNvPr id="56" name="Chart 5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238125</xdr:colOff>
      <xdr:row>0</xdr:row>
      <xdr:rowOff>0</xdr:rowOff>
    </xdr:from>
    <xdr:ext cx="4933950" cy="2857500"/>
    <xdr:graphicFrame>
      <xdr:nvGraphicFramePr>
        <xdr:cNvPr id="57" name="Chart 57"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58" name="Chart 5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59" name="Chart 5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60" name="Chart 60"/>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61" name="Chart 61"/>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923925</xdr:colOff>
      <xdr:row>0</xdr:row>
      <xdr:rowOff>0</xdr:rowOff>
    </xdr:from>
    <xdr:ext cx="4762500" cy="2857500"/>
    <xdr:graphicFrame>
      <xdr:nvGraphicFramePr>
        <xdr:cNvPr id="62" name="Chart 62"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38100</xdr:colOff>
      <xdr:row>13</xdr:row>
      <xdr:rowOff>200025</xdr:rowOff>
    </xdr:from>
    <xdr:ext cx="8658225" cy="5200650"/>
    <xdr:graphicFrame>
      <xdr:nvGraphicFramePr>
        <xdr:cNvPr id="63" name="Chart 63"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2781300</xdr:colOff>
      <xdr:row>0</xdr:row>
      <xdr:rowOff>0</xdr:rowOff>
    </xdr:from>
    <xdr:ext cx="3952875" cy="2857500"/>
    <xdr:graphicFrame>
      <xdr:nvGraphicFramePr>
        <xdr:cNvPr id="64" name="Chart 64"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914400</xdr:colOff>
      <xdr:row>0</xdr:row>
      <xdr:rowOff>0</xdr:rowOff>
    </xdr:from>
    <xdr:ext cx="5715000" cy="3714750"/>
    <xdr:graphicFrame>
      <xdr:nvGraphicFramePr>
        <xdr:cNvPr id="65" name="Chart 6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866775</xdr:colOff>
      <xdr:row>0</xdr:row>
      <xdr:rowOff>0</xdr:rowOff>
    </xdr:from>
    <xdr:ext cx="4762500" cy="2857500"/>
    <xdr:graphicFrame>
      <xdr:nvGraphicFramePr>
        <xdr:cNvPr id="66" name="Chart 6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866775</xdr:colOff>
      <xdr:row>14</xdr:row>
      <xdr:rowOff>19050</xdr:rowOff>
    </xdr:from>
    <xdr:ext cx="8467725" cy="5086350"/>
    <xdr:graphicFrame>
      <xdr:nvGraphicFramePr>
        <xdr:cNvPr id="67" name="Chart 6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180975</xdr:colOff>
      <xdr:row>0</xdr:row>
      <xdr:rowOff>0</xdr:rowOff>
    </xdr:from>
    <xdr:ext cx="3714750" cy="2857500"/>
    <xdr:graphicFrame>
      <xdr:nvGraphicFramePr>
        <xdr:cNvPr id="68" name="Chart 6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752475</xdr:colOff>
      <xdr:row>0</xdr:row>
      <xdr:rowOff>0</xdr:rowOff>
    </xdr:from>
    <xdr:ext cx="5715000" cy="3333750"/>
    <xdr:graphicFrame>
      <xdr:nvGraphicFramePr>
        <xdr:cNvPr id="69" name="Chart 6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704850</xdr:colOff>
      <xdr:row>0</xdr:row>
      <xdr:rowOff>0</xdr:rowOff>
    </xdr:from>
    <xdr:ext cx="4762500" cy="2857500"/>
    <xdr:graphicFrame>
      <xdr:nvGraphicFramePr>
        <xdr:cNvPr id="70" name="Chart 7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704850</xdr:colOff>
      <xdr:row>14</xdr:row>
      <xdr:rowOff>19050</xdr:rowOff>
    </xdr:from>
    <xdr:ext cx="8324850" cy="5000625"/>
    <xdr:graphicFrame>
      <xdr:nvGraphicFramePr>
        <xdr:cNvPr id="71" name="Chart 7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409575</xdr:colOff>
      <xdr:row>0</xdr:row>
      <xdr:rowOff>0</xdr:rowOff>
    </xdr:from>
    <xdr:ext cx="3609975" cy="2857500"/>
    <xdr:graphicFrame>
      <xdr:nvGraphicFramePr>
        <xdr:cNvPr id="72" name="Chart 7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866775</xdr:colOff>
      <xdr:row>0</xdr:row>
      <xdr:rowOff>0</xdr:rowOff>
    </xdr:from>
    <xdr:ext cx="5715000" cy="2952750"/>
    <xdr:graphicFrame>
      <xdr:nvGraphicFramePr>
        <xdr:cNvPr id="73" name="Chart 7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28575</xdr:colOff>
      <xdr:row>0</xdr:row>
      <xdr:rowOff>0</xdr:rowOff>
    </xdr:from>
    <xdr:ext cx="4762500" cy="2857500"/>
    <xdr:graphicFrame>
      <xdr:nvGraphicFramePr>
        <xdr:cNvPr id="74" name="Chart 7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28575</xdr:colOff>
      <xdr:row>14</xdr:row>
      <xdr:rowOff>19050</xdr:rowOff>
    </xdr:from>
    <xdr:ext cx="9705975" cy="5829300"/>
    <xdr:graphicFrame>
      <xdr:nvGraphicFramePr>
        <xdr:cNvPr id="75" name="Chart 7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304800</xdr:colOff>
      <xdr:row>0</xdr:row>
      <xdr:rowOff>0</xdr:rowOff>
    </xdr:from>
    <xdr:ext cx="4762500" cy="2857500"/>
    <xdr:graphicFrame>
      <xdr:nvGraphicFramePr>
        <xdr:cNvPr id="76" name="Chart 76"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77" name="Chart 7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78" name="Chart 7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79" name="Chart 79"/>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80" name="Chart 80"/>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28575</xdr:colOff>
      <xdr:row>0</xdr:row>
      <xdr:rowOff>0</xdr:rowOff>
    </xdr:from>
    <xdr:ext cx="4762500" cy="2857500"/>
    <xdr:graphicFrame>
      <xdr:nvGraphicFramePr>
        <xdr:cNvPr id="81" name="Chart 8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28575</xdr:colOff>
      <xdr:row>13</xdr:row>
      <xdr:rowOff>95250</xdr:rowOff>
    </xdr:from>
    <xdr:ext cx="9553575" cy="5743575"/>
    <xdr:graphicFrame>
      <xdr:nvGraphicFramePr>
        <xdr:cNvPr id="82" name="Chart 8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2876550</xdr:colOff>
      <xdr:row>0</xdr:row>
      <xdr:rowOff>0</xdr:rowOff>
    </xdr:from>
    <xdr:ext cx="4762500" cy="2857500"/>
    <xdr:graphicFrame>
      <xdr:nvGraphicFramePr>
        <xdr:cNvPr id="83" name="Chart 83"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0</xdr:row>
      <xdr:rowOff>0</xdr:rowOff>
    </xdr:from>
    <xdr:ext cx="5715000" cy="3333750"/>
    <xdr:graphicFrame>
      <xdr:nvGraphicFramePr>
        <xdr:cNvPr id="84" name="Chart 8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914400</xdr:colOff>
      <xdr:row>0</xdr:row>
      <xdr:rowOff>0</xdr:rowOff>
    </xdr:from>
    <xdr:ext cx="4762500" cy="2857500"/>
    <xdr:graphicFrame>
      <xdr:nvGraphicFramePr>
        <xdr:cNvPr id="85" name="Chart 8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0</xdr:colOff>
      <xdr:row>14</xdr:row>
      <xdr:rowOff>19050</xdr:rowOff>
    </xdr:from>
    <xdr:ext cx="9572625" cy="4838700"/>
    <xdr:graphicFrame>
      <xdr:nvGraphicFramePr>
        <xdr:cNvPr id="86" name="Chart 8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238125</xdr:colOff>
      <xdr:row>0</xdr:row>
      <xdr:rowOff>0</xdr:rowOff>
    </xdr:from>
    <xdr:ext cx="4762500" cy="2857500"/>
    <xdr:graphicFrame>
      <xdr:nvGraphicFramePr>
        <xdr:cNvPr id="87" name="Chart 87"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88" name="Chart 8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89" name="Chart 8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90" name="Chart 90"/>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91" name="Chart 91"/>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38100</xdr:colOff>
      <xdr:row>0</xdr:row>
      <xdr:rowOff>0</xdr:rowOff>
    </xdr:from>
    <xdr:ext cx="4762500" cy="2857500"/>
    <xdr:graphicFrame>
      <xdr:nvGraphicFramePr>
        <xdr:cNvPr id="92" name="Chart 92"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38100</xdr:colOff>
      <xdr:row>13</xdr:row>
      <xdr:rowOff>200025</xdr:rowOff>
    </xdr:from>
    <xdr:ext cx="9496425" cy="5638800"/>
    <xdr:graphicFrame>
      <xdr:nvGraphicFramePr>
        <xdr:cNvPr id="93" name="Chart 93"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2886075</xdr:colOff>
      <xdr:row>0</xdr:row>
      <xdr:rowOff>0</xdr:rowOff>
    </xdr:from>
    <xdr:ext cx="4762500" cy="2857500"/>
    <xdr:graphicFrame>
      <xdr:nvGraphicFramePr>
        <xdr:cNvPr id="94" name="Chart 94"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95" name="Chart 9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96" name="Chart 9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19050</xdr:colOff>
      <xdr:row>0</xdr:row>
      <xdr:rowOff>0</xdr:rowOff>
    </xdr:from>
    <xdr:ext cx="4762500" cy="2857500"/>
    <xdr:graphicFrame>
      <xdr:nvGraphicFramePr>
        <xdr:cNvPr id="97" name="Chart 9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19050</xdr:colOff>
      <xdr:row>13</xdr:row>
      <xdr:rowOff>200025</xdr:rowOff>
    </xdr:from>
    <xdr:ext cx="9220200" cy="5534025"/>
    <xdr:graphicFrame>
      <xdr:nvGraphicFramePr>
        <xdr:cNvPr id="98" name="Chart 9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2886075</xdr:colOff>
      <xdr:row>0</xdr:row>
      <xdr:rowOff>0</xdr:rowOff>
    </xdr:from>
    <xdr:ext cx="4762500" cy="2857500"/>
    <xdr:graphicFrame>
      <xdr:nvGraphicFramePr>
        <xdr:cNvPr id="99" name="Chart 9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733425</xdr:colOff>
      <xdr:row>0</xdr:row>
      <xdr:rowOff>0</xdr:rowOff>
    </xdr:from>
    <xdr:ext cx="5715000" cy="4010025"/>
    <xdr:graphicFrame>
      <xdr:nvGraphicFramePr>
        <xdr:cNvPr id="100" name="Chart 10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0</xdr:row>
      <xdr:rowOff>0</xdr:rowOff>
    </xdr:from>
    <xdr:ext cx="4762500" cy="2857500"/>
    <xdr:graphicFrame>
      <xdr:nvGraphicFramePr>
        <xdr:cNvPr id="101" name="Chart 10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38100</xdr:colOff>
      <xdr:row>14</xdr:row>
      <xdr:rowOff>19050</xdr:rowOff>
    </xdr:from>
    <xdr:ext cx="9477375" cy="5105400"/>
    <xdr:graphicFrame>
      <xdr:nvGraphicFramePr>
        <xdr:cNvPr id="102" name="Chart 10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276225</xdr:colOff>
      <xdr:row>0</xdr:row>
      <xdr:rowOff>0</xdr:rowOff>
    </xdr:from>
    <xdr:ext cx="4762500" cy="2857500"/>
    <xdr:graphicFrame>
      <xdr:nvGraphicFramePr>
        <xdr:cNvPr id="103" name="Chart 103"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5715000" cy="3752850"/>
    <xdr:graphicFrame>
      <xdr:nvGraphicFramePr>
        <xdr:cNvPr id="104" name="Chart 10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9525</xdr:colOff>
      <xdr:row>0</xdr:row>
      <xdr:rowOff>0</xdr:rowOff>
    </xdr:from>
    <xdr:ext cx="4762500" cy="2857500"/>
    <xdr:graphicFrame>
      <xdr:nvGraphicFramePr>
        <xdr:cNvPr id="105" name="Chart 10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9525</xdr:colOff>
      <xdr:row>13</xdr:row>
      <xdr:rowOff>161925</xdr:rowOff>
    </xdr:from>
    <xdr:ext cx="9525000" cy="5734050"/>
    <xdr:graphicFrame>
      <xdr:nvGraphicFramePr>
        <xdr:cNvPr id="106" name="Chart 10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295275</xdr:colOff>
      <xdr:row>0</xdr:row>
      <xdr:rowOff>0</xdr:rowOff>
    </xdr:from>
    <xdr:ext cx="4762500" cy="2857500"/>
    <xdr:graphicFrame>
      <xdr:nvGraphicFramePr>
        <xdr:cNvPr id="107" name="Chart 107"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08" name="Chart 10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09" name="Chart 10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10" name="Chart 110"/>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111" name="Chart 111"/>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923925</xdr:colOff>
      <xdr:row>0</xdr:row>
      <xdr:rowOff>0</xdr:rowOff>
    </xdr:from>
    <xdr:ext cx="4762500" cy="2857500"/>
    <xdr:graphicFrame>
      <xdr:nvGraphicFramePr>
        <xdr:cNvPr id="112" name="Chart 112"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923925</xdr:colOff>
      <xdr:row>13</xdr:row>
      <xdr:rowOff>200025</xdr:rowOff>
    </xdr:from>
    <xdr:ext cx="9839325" cy="5838825"/>
    <xdr:graphicFrame>
      <xdr:nvGraphicFramePr>
        <xdr:cNvPr id="113" name="Chart 113"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2828925</xdr:colOff>
      <xdr:row>0</xdr:row>
      <xdr:rowOff>0</xdr:rowOff>
    </xdr:from>
    <xdr:ext cx="4762500" cy="2857500"/>
    <xdr:graphicFrame>
      <xdr:nvGraphicFramePr>
        <xdr:cNvPr id="114" name="Chart 114"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15" name="Chart 11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16" name="Chart 11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17" name="Chart 11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118" name="Chart 118"/>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942975</xdr:colOff>
      <xdr:row>0</xdr:row>
      <xdr:rowOff>0</xdr:rowOff>
    </xdr:from>
    <xdr:ext cx="4762500" cy="2857500"/>
    <xdr:graphicFrame>
      <xdr:nvGraphicFramePr>
        <xdr:cNvPr id="119" name="Chart 1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942975</xdr:colOff>
      <xdr:row>14</xdr:row>
      <xdr:rowOff>0</xdr:rowOff>
    </xdr:from>
    <xdr:ext cx="9429750" cy="5267325"/>
    <xdr:graphicFrame>
      <xdr:nvGraphicFramePr>
        <xdr:cNvPr id="120" name="Chart 1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2733675</xdr:colOff>
      <xdr:row>0</xdr:row>
      <xdr:rowOff>0</xdr:rowOff>
    </xdr:from>
    <xdr:ext cx="4762500" cy="2857500"/>
    <xdr:graphicFrame>
      <xdr:nvGraphicFramePr>
        <xdr:cNvPr id="121" name="Chart 121"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22" name="Chart 12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23" name="Chart 12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24" name="Chart 12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933450</xdr:colOff>
      <xdr:row>0</xdr:row>
      <xdr:rowOff>0</xdr:rowOff>
    </xdr:from>
    <xdr:ext cx="4762500" cy="2857500"/>
    <xdr:graphicFrame>
      <xdr:nvGraphicFramePr>
        <xdr:cNvPr id="125" name="Chart 12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19050</xdr:colOff>
      <xdr:row>13</xdr:row>
      <xdr:rowOff>133350</xdr:rowOff>
    </xdr:from>
    <xdr:ext cx="9505950" cy="5695950"/>
    <xdr:graphicFrame>
      <xdr:nvGraphicFramePr>
        <xdr:cNvPr id="126" name="Chart 12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2819400</xdr:colOff>
      <xdr:row>0</xdr:row>
      <xdr:rowOff>0</xdr:rowOff>
    </xdr:from>
    <xdr:ext cx="4762500" cy="2857500"/>
    <xdr:graphicFrame>
      <xdr:nvGraphicFramePr>
        <xdr:cNvPr id="127" name="Chart 127"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904875</xdr:colOff>
      <xdr:row>0</xdr:row>
      <xdr:rowOff>0</xdr:rowOff>
    </xdr:from>
    <xdr:ext cx="5715000" cy="4057650"/>
    <xdr:graphicFrame>
      <xdr:nvGraphicFramePr>
        <xdr:cNvPr id="128" name="Chart 12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38100</xdr:colOff>
      <xdr:row>0</xdr:row>
      <xdr:rowOff>0</xdr:rowOff>
    </xdr:from>
    <xdr:ext cx="4762500" cy="2857500"/>
    <xdr:graphicFrame>
      <xdr:nvGraphicFramePr>
        <xdr:cNvPr id="129" name="Chart 12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38100</xdr:colOff>
      <xdr:row>14</xdr:row>
      <xdr:rowOff>57150</xdr:rowOff>
    </xdr:from>
    <xdr:ext cx="9515475" cy="5734050"/>
    <xdr:graphicFrame>
      <xdr:nvGraphicFramePr>
        <xdr:cNvPr id="130" name="Chart 13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314325</xdr:colOff>
      <xdr:row>0</xdr:row>
      <xdr:rowOff>0</xdr:rowOff>
    </xdr:from>
    <xdr:ext cx="4762500" cy="2857500"/>
    <xdr:graphicFrame>
      <xdr:nvGraphicFramePr>
        <xdr:cNvPr id="131" name="Chart 131"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32" name="Chart 13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33" name="Chart 13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914400</xdr:colOff>
      <xdr:row>0</xdr:row>
      <xdr:rowOff>0</xdr:rowOff>
    </xdr:from>
    <xdr:ext cx="4762500" cy="2857500"/>
    <xdr:graphicFrame>
      <xdr:nvGraphicFramePr>
        <xdr:cNvPr id="134" name="Chart 13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857250</xdr:colOff>
      <xdr:row>13</xdr:row>
      <xdr:rowOff>123825</xdr:rowOff>
    </xdr:from>
    <xdr:ext cx="8553450" cy="5133975"/>
    <xdr:graphicFrame>
      <xdr:nvGraphicFramePr>
        <xdr:cNvPr id="135" name="Chart 13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1866900</xdr:colOff>
      <xdr:row>0</xdr:row>
      <xdr:rowOff>28575</xdr:rowOff>
    </xdr:from>
    <xdr:ext cx="3705225" cy="2857500"/>
    <xdr:graphicFrame>
      <xdr:nvGraphicFramePr>
        <xdr:cNvPr id="136" name="Chart 136"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37" name="Chart 13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38" name="Chart 13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923925</xdr:colOff>
      <xdr:row>0</xdr:row>
      <xdr:rowOff>0</xdr:rowOff>
    </xdr:from>
    <xdr:ext cx="4762500" cy="2857500"/>
    <xdr:graphicFrame>
      <xdr:nvGraphicFramePr>
        <xdr:cNvPr id="139" name="Chart 13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876300</xdr:colOff>
      <xdr:row>14</xdr:row>
      <xdr:rowOff>0</xdr:rowOff>
    </xdr:from>
    <xdr:ext cx="8743950" cy="5248275"/>
    <xdr:graphicFrame>
      <xdr:nvGraphicFramePr>
        <xdr:cNvPr id="140" name="Chart 14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885825</xdr:colOff>
      <xdr:row>0</xdr:row>
      <xdr:rowOff>0</xdr:rowOff>
    </xdr:from>
    <xdr:ext cx="3962400" cy="2857500"/>
    <xdr:graphicFrame>
      <xdr:nvGraphicFramePr>
        <xdr:cNvPr id="141" name="Chart 141"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42" name="Chart 14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43" name="Chart 14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44" name="Chart 14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145" name="Chart 145"/>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146" name="Chart 146"/>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19050</xdr:colOff>
      <xdr:row>0</xdr:row>
      <xdr:rowOff>0</xdr:rowOff>
    </xdr:from>
    <xdr:ext cx="4762500" cy="2857500"/>
    <xdr:graphicFrame>
      <xdr:nvGraphicFramePr>
        <xdr:cNvPr id="147" name="Chart 14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933450</xdr:colOff>
      <xdr:row>13</xdr:row>
      <xdr:rowOff>104775</xdr:rowOff>
    </xdr:from>
    <xdr:ext cx="8296275" cy="4552950"/>
    <xdr:graphicFrame>
      <xdr:nvGraphicFramePr>
        <xdr:cNvPr id="148" name="Chart 14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12</xdr:col>
      <xdr:colOff>28575</xdr:colOff>
      <xdr:row>0</xdr:row>
      <xdr:rowOff>0</xdr:rowOff>
    </xdr:from>
    <xdr:ext cx="3438525" cy="2857500"/>
    <xdr:graphicFrame>
      <xdr:nvGraphicFramePr>
        <xdr:cNvPr id="149" name="Chart 149"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50" name="Chart 150"/>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51" name="Chart 151"/>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52" name="Chart 152"/>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153" name="Chart 153"/>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154" name="Chart 154"/>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0</xdr:colOff>
      <xdr:row>70</xdr:row>
      <xdr:rowOff>0</xdr:rowOff>
    </xdr:from>
    <xdr:ext cx="3810000" cy="2857500"/>
    <xdr:graphicFrame>
      <xdr:nvGraphicFramePr>
        <xdr:cNvPr id="155" name="Chart 155"/>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7</xdr:col>
      <xdr:colOff>9525</xdr:colOff>
      <xdr:row>0</xdr:row>
      <xdr:rowOff>0</xdr:rowOff>
    </xdr:from>
    <xdr:ext cx="4762500" cy="2857500"/>
    <xdr:graphicFrame>
      <xdr:nvGraphicFramePr>
        <xdr:cNvPr id="156" name="Chart 156"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9525</xdr:colOff>
      <xdr:row>13</xdr:row>
      <xdr:rowOff>104775</xdr:rowOff>
    </xdr:from>
    <xdr:ext cx="8772525" cy="5267325"/>
    <xdr:graphicFrame>
      <xdr:nvGraphicFramePr>
        <xdr:cNvPr id="157" name="Chart 157"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11</xdr:col>
      <xdr:colOff>952500</xdr:colOff>
      <xdr:row>0</xdr:row>
      <xdr:rowOff>0</xdr:rowOff>
    </xdr:from>
    <xdr:ext cx="3990975" cy="2857500"/>
    <xdr:graphicFrame>
      <xdr:nvGraphicFramePr>
        <xdr:cNvPr id="158" name="Chart 158"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59" name="Chart 159"/>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60" name="Chart 160"/>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61" name="Chart 161"/>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162" name="Chart 162"/>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163" name="Chart 163"/>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0</xdr:colOff>
      <xdr:row>70</xdr:row>
      <xdr:rowOff>0</xdr:rowOff>
    </xdr:from>
    <xdr:ext cx="3810000" cy="2857500"/>
    <xdr:graphicFrame>
      <xdr:nvGraphicFramePr>
        <xdr:cNvPr id="164" name="Chart 164"/>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7</xdr:col>
      <xdr:colOff>38100</xdr:colOff>
      <xdr:row>0</xdr:row>
      <xdr:rowOff>28575</xdr:rowOff>
    </xdr:from>
    <xdr:ext cx="4762500" cy="2857500"/>
    <xdr:graphicFrame>
      <xdr:nvGraphicFramePr>
        <xdr:cNvPr id="165" name="Chart 165"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933450</xdr:colOff>
      <xdr:row>14</xdr:row>
      <xdr:rowOff>0</xdr:rowOff>
    </xdr:from>
    <xdr:ext cx="8896350" cy="5334000"/>
    <xdr:graphicFrame>
      <xdr:nvGraphicFramePr>
        <xdr:cNvPr id="166" name="Chart 166"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11</xdr:col>
      <xdr:colOff>952500</xdr:colOff>
      <xdr:row>0</xdr:row>
      <xdr:rowOff>0</xdr:rowOff>
    </xdr:from>
    <xdr:ext cx="4076700" cy="2857500"/>
    <xdr:graphicFrame>
      <xdr:nvGraphicFramePr>
        <xdr:cNvPr id="167" name="Chart 167"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68" name="Chart 16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962025</xdr:colOff>
      <xdr:row>14</xdr:row>
      <xdr:rowOff>0</xdr:rowOff>
    </xdr:from>
    <xdr:ext cx="3810000" cy="2857500"/>
    <xdr:graphicFrame>
      <xdr:nvGraphicFramePr>
        <xdr:cNvPr id="169" name="Chart 16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70" name="Chart 170"/>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171" name="Chart 171"/>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561975</xdr:colOff>
      <xdr:row>0</xdr:row>
      <xdr:rowOff>0</xdr:rowOff>
    </xdr:from>
    <xdr:ext cx="4781550" cy="2857500"/>
    <xdr:graphicFrame>
      <xdr:nvGraphicFramePr>
        <xdr:cNvPr id="172" name="Chart 172"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14</xdr:row>
      <xdr:rowOff>0</xdr:rowOff>
    </xdr:from>
    <xdr:ext cx="8248650" cy="4943475"/>
    <xdr:graphicFrame>
      <xdr:nvGraphicFramePr>
        <xdr:cNvPr id="173" name="Chart 173"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933450</xdr:colOff>
      <xdr:row>0</xdr:row>
      <xdr:rowOff>0</xdr:rowOff>
    </xdr:from>
    <xdr:ext cx="3419475" cy="2857500"/>
    <xdr:graphicFrame>
      <xdr:nvGraphicFramePr>
        <xdr:cNvPr id="174" name="Chart 174"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75" name="Chart 17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76" name="Chart 17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77" name="Chart 17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838200</xdr:colOff>
      <xdr:row>0</xdr:row>
      <xdr:rowOff>0</xdr:rowOff>
    </xdr:from>
    <xdr:ext cx="4762500" cy="2857500"/>
    <xdr:graphicFrame>
      <xdr:nvGraphicFramePr>
        <xdr:cNvPr id="178" name="Chart 17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838200</xdr:colOff>
      <xdr:row>13</xdr:row>
      <xdr:rowOff>104775</xdr:rowOff>
    </xdr:from>
    <xdr:ext cx="9505950" cy="5524500"/>
    <xdr:graphicFrame>
      <xdr:nvGraphicFramePr>
        <xdr:cNvPr id="179" name="Chart 17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800100</xdr:colOff>
      <xdr:row>0</xdr:row>
      <xdr:rowOff>0</xdr:rowOff>
    </xdr:from>
    <xdr:ext cx="4762500" cy="2857500"/>
    <xdr:graphicFrame>
      <xdr:nvGraphicFramePr>
        <xdr:cNvPr id="180" name="Chart 180"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81" name="Chart 18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82" name="Chart 18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183" name="Chart 18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184" name="Chart 18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923925</xdr:colOff>
      <xdr:row>0</xdr:row>
      <xdr:rowOff>0</xdr:rowOff>
    </xdr:from>
    <xdr:ext cx="4762500" cy="2857500"/>
    <xdr:graphicFrame>
      <xdr:nvGraphicFramePr>
        <xdr:cNvPr id="185" name="Chart 18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923925</xdr:colOff>
      <xdr:row>14</xdr:row>
      <xdr:rowOff>0</xdr:rowOff>
    </xdr:from>
    <xdr:ext cx="8772525" cy="5267325"/>
    <xdr:graphicFrame>
      <xdr:nvGraphicFramePr>
        <xdr:cNvPr id="186" name="Chart 18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933450</xdr:colOff>
      <xdr:row>0</xdr:row>
      <xdr:rowOff>0</xdr:rowOff>
    </xdr:from>
    <xdr:ext cx="3914775" cy="2857500"/>
    <xdr:graphicFrame>
      <xdr:nvGraphicFramePr>
        <xdr:cNvPr id="187" name="Chart 187"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88" name="Chart 18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89" name="Chart 18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933450</xdr:colOff>
      <xdr:row>0</xdr:row>
      <xdr:rowOff>0</xdr:rowOff>
    </xdr:from>
    <xdr:ext cx="4762500" cy="2857500"/>
    <xdr:graphicFrame>
      <xdr:nvGraphicFramePr>
        <xdr:cNvPr id="190" name="Chart 19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933450</xdr:colOff>
      <xdr:row>13</xdr:row>
      <xdr:rowOff>200025</xdr:rowOff>
    </xdr:from>
    <xdr:ext cx="8791575" cy="5276850"/>
    <xdr:graphicFrame>
      <xdr:nvGraphicFramePr>
        <xdr:cNvPr id="191" name="Chart 191"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895350</xdr:colOff>
      <xdr:row>0</xdr:row>
      <xdr:rowOff>66675</xdr:rowOff>
    </xdr:from>
    <xdr:ext cx="4029075" cy="2857500"/>
    <xdr:graphicFrame>
      <xdr:nvGraphicFramePr>
        <xdr:cNvPr id="192" name="Chart 192"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93" name="Chart 19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94" name="Chart 19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0</xdr:colOff>
      <xdr:row>9</xdr:row>
      <xdr:rowOff>0</xdr:rowOff>
    </xdr:from>
    <xdr:ext cx="4762500" cy="2857500"/>
    <xdr:graphicFrame>
      <xdr:nvGraphicFramePr>
        <xdr:cNvPr id="195" name="Chart 195"/>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0</xdr:colOff>
      <xdr:row>23</xdr:row>
      <xdr:rowOff>0</xdr:rowOff>
    </xdr:from>
    <xdr:ext cx="4762500" cy="2857500"/>
    <xdr:graphicFrame>
      <xdr:nvGraphicFramePr>
        <xdr:cNvPr id="196" name="Chart 196"/>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0</xdr:colOff>
      <xdr:row>48</xdr:row>
      <xdr:rowOff>0</xdr:rowOff>
    </xdr:from>
    <xdr:ext cx="4762500" cy="2857500"/>
    <xdr:graphicFrame>
      <xdr:nvGraphicFramePr>
        <xdr:cNvPr id="197" name="Chart 197"/>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198" name="Chart 19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199" name="Chart 19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00" name="Chart 200"/>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01" name="Chart 201"/>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0</xdr:colOff>
      <xdr:row>9</xdr:row>
      <xdr:rowOff>0</xdr:rowOff>
    </xdr:from>
    <xdr:ext cx="4762500" cy="2857500"/>
    <xdr:graphicFrame>
      <xdr:nvGraphicFramePr>
        <xdr:cNvPr id="202" name="Chart 202"/>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15</xdr:col>
      <xdr:colOff>0</xdr:colOff>
      <xdr:row>23</xdr:row>
      <xdr:rowOff>0</xdr:rowOff>
    </xdr:from>
    <xdr:ext cx="4762500" cy="2857500"/>
    <xdr:graphicFrame>
      <xdr:nvGraphicFramePr>
        <xdr:cNvPr id="203" name="Chart 203"/>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15</xdr:col>
      <xdr:colOff>0</xdr:colOff>
      <xdr:row>48</xdr:row>
      <xdr:rowOff>0</xdr:rowOff>
    </xdr:from>
    <xdr:ext cx="4762500" cy="2857500"/>
    <xdr:graphicFrame>
      <xdr:nvGraphicFramePr>
        <xdr:cNvPr id="204" name="Chart 204"/>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05" name="Chart 20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06" name="Chart 20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07" name="Chart 20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08" name="Chart 208"/>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209" name="Chart 209"/>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0</xdr:colOff>
      <xdr:row>70</xdr:row>
      <xdr:rowOff>0</xdr:rowOff>
    </xdr:from>
    <xdr:ext cx="3810000" cy="2857500"/>
    <xdr:graphicFrame>
      <xdr:nvGraphicFramePr>
        <xdr:cNvPr id="210" name="Chart 210"/>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933450</xdr:colOff>
      <xdr:row>0</xdr:row>
      <xdr:rowOff>0</xdr:rowOff>
    </xdr:from>
    <xdr:ext cx="4762500" cy="2857500"/>
    <xdr:graphicFrame>
      <xdr:nvGraphicFramePr>
        <xdr:cNvPr id="211" name="Chart 21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933450</xdr:colOff>
      <xdr:row>13</xdr:row>
      <xdr:rowOff>190500</xdr:rowOff>
    </xdr:from>
    <xdr:ext cx="8772525" cy="5267325"/>
    <xdr:graphicFrame>
      <xdr:nvGraphicFramePr>
        <xdr:cNvPr id="212" name="Chart 21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11</xdr:col>
      <xdr:colOff>933450</xdr:colOff>
      <xdr:row>0</xdr:row>
      <xdr:rowOff>0</xdr:rowOff>
    </xdr:from>
    <xdr:ext cx="3971925" cy="2857500"/>
    <xdr:graphicFrame>
      <xdr:nvGraphicFramePr>
        <xdr:cNvPr id="213" name="Chart 213"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14" name="Chart 21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15" name="Chart 215"/>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16" name="Chart 216"/>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17" name="Chart 217"/>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218" name="Chart 218"/>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0</xdr:row>
      <xdr:rowOff>0</xdr:rowOff>
    </xdr:from>
    <xdr:ext cx="4762500" cy="2857500"/>
    <xdr:graphicFrame>
      <xdr:nvGraphicFramePr>
        <xdr:cNvPr id="219" name="Chart 21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933450</xdr:colOff>
      <xdr:row>13</xdr:row>
      <xdr:rowOff>200025</xdr:rowOff>
    </xdr:from>
    <xdr:ext cx="8772525" cy="5267325"/>
    <xdr:graphicFrame>
      <xdr:nvGraphicFramePr>
        <xdr:cNvPr id="220" name="Chart 220"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895350</xdr:colOff>
      <xdr:row>0</xdr:row>
      <xdr:rowOff>0</xdr:rowOff>
    </xdr:from>
    <xdr:ext cx="4010025" cy="2857500"/>
    <xdr:graphicFrame>
      <xdr:nvGraphicFramePr>
        <xdr:cNvPr id="221" name="Chart 221"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22" name="Chart 22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23" name="Chart 22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24" name="Chart 22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25" name="Chart 225"/>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226" name="Chart 226"/>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0</xdr:row>
      <xdr:rowOff>0</xdr:rowOff>
    </xdr:from>
    <xdr:ext cx="4762500" cy="2857500"/>
    <xdr:graphicFrame>
      <xdr:nvGraphicFramePr>
        <xdr:cNvPr id="227" name="Chart 22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933450</xdr:colOff>
      <xdr:row>13</xdr:row>
      <xdr:rowOff>95250</xdr:rowOff>
    </xdr:from>
    <xdr:ext cx="8791575" cy="5276850"/>
    <xdr:graphicFrame>
      <xdr:nvGraphicFramePr>
        <xdr:cNvPr id="228" name="Chart 22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895350</xdr:colOff>
      <xdr:row>0</xdr:row>
      <xdr:rowOff>0</xdr:rowOff>
    </xdr:from>
    <xdr:ext cx="4029075" cy="2762250"/>
    <xdr:graphicFrame>
      <xdr:nvGraphicFramePr>
        <xdr:cNvPr id="229" name="Chart 229"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30" name="Chart 230"/>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31" name="Chart 231"/>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32" name="Chart 232"/>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33" name="Chart 233"/>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234" name="Chart 234"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866775</xdr:colOff>
      <xdr:row>14</xdr:row>
      <xdr:rowOff>0</xdr:rowOff>
    </xdr:from>
    <xdr:ext cx="8982075" cy="6276975"/>
    <xdr:graphicFrame>
      <xdr:nvGraphicFramePr>
        <xdr:cNvPr id="235" name="Chart 235"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952500</xdr:colOff>
      <xdr:row>0</xdr:row>
      <xdr:rowOff>0</xdr:rowOff>
    </xdr:from>
    <xdr:ext cx="3962400" cy="2857500"/>
    <xdr:graphicFrame>
      <xdr:nvGraphicFramePr>
        <xdr:cNvPr id="236" name="Chart 236"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37" name="Chart 23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38" name="Chart 23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39" name="Chart 239"/>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40" name="Chart 240"/>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28575</xdr:colOff>
      <xdr:row>0</xdr:row>
      <xdr:rowOff>0</xdr:rowOff>
    </xdr:from>
    <xdr:ext cx="4762500" cy="2857500"/>
    <xdr:graphicFrame>
      <xdr:nvGraphicFramePr>
        <xdr:cNvPr id="241" name="Chart 24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28575</xdr:colOff>
      <xdr:row>13</xdr:row>
      <xdr:rowOff>95250</xdr:rowOff>
    </xdr:from>
    <xdr:ext cx="8839200" cy="5305425"/>
    <xdr:graphicFrame>
      <xdr:nvGraphicFramePr>
        <xdr:cNvPr id="242" name="Chart 24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904875</xdr:colOff>
      <xdr:row>0</xdr:row>
      <xdr:rowOff>0</xdr:rowOff>
    </xdr:from>
    <xdr:ext cx="4019550" cy="2857500"/>
    <xdr:graphicFrame>
      <xdr:nvGraphicFramePr>
        <xdr:cNvPr id="243" name="Chart 243"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44" name="Chart 24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45" name="Chart 245"/>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46" name="Chart 246"/>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47" name="Chart 247"/>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248" name="Chart 248"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13</xdr:row>
      <xdr:rowOff>142875</xdr:rowOff>
    </xdr:from>
    <xdr:ext cx="8791575" cy="5276850"/>
    <xdr:graphicFrame>
      <xdr:nvGraphicFramePr>
        <xdr:cNvPr id="249" name="Chart 24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895350</xdr:colOff>
      <xdr:row>0</xdr:row>
      <xdr:rowOff>0</xdr:rowOff>
    </xdr:from>
    <xdr:ext cx="4029075" cy="2857500"/>
    <xdr:graphicFrame>
      <xdr:nvGraphicFramePr>
        <xdr:cNvPr id="250" name="Chart 250"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51" name="Chart 25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52" name="Chart 25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53" name="Chart 25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933450</xdr:colOff>
      <xdr:row>0</xdr:row>
      <xdr:rowOff>0</xdr:rowOff>
    </xdr:from>
    <xdr:ext cx="4762500" cy="2857500"/>
    <xdr:graphicFrame>
      <xdr:nvGraphicFramePr>
        <xdr:cNvPr id="254" name="Chart 25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14</xdr:row>
      <xdr:rowOff>9525</xdr:rowOff>
    </xdr:from>
    <xdr:ext cx="8801100" cy="5286375"/>
    <xdr:graphicFrame>
      <xdr:nvGraphicFramePr>
        <xdr:cNvPr id="255" name="Chart 25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952500</xdr:colOff>
      <xdr:row>0</xdr:row>
      <xdr:rowOff>0</xdr:rowOff>
    </xdr:from>
    <xdr:ext cx="3981450" cy="2857500"/>
    <xdr:graphicFrame>
      <xdr:nvGraphicFramePr>
        <xdr:cNvPr id="256" name="Chart 25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57" name="Chart 25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58" name="Chart 25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59" name="Chart 259"/>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60" name="Chart 260"/>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923925</xdr:colOff>
      <xdr:row>0</xdr:row>
      <xdr:rowOff>0</xdr:rowOff>
    </xdr:from>
    <xdr:ext cx="4762500" cy="2857500"/>
    <xdr:graphicFrame>
      <xdr:nvGraphicFramePr>
        <xdr:cNvPr id="261" name="Chart 26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923925</xdr:colOff>
      <xdr:row>14</xdr:row>
      <xdr:rowOff>0</xdr:rowOff>
    </xdr:from>
    <xdr:ext cx="8801100" cy="5286375"/>
    <xdr:graphicFrame>
      <xdr:nvGraphicFramePr>
        <xdr:cNvPr id="262" name="Chart 26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885825</xdr:colOff>
      <xdr:row>0</xdr:row>
      <xdr:rowOff>0</xdr:rowOff>
    </xdr:from>
    <xdr:ext cx="4086225" cy="2857500"/>
    <xdr:graphicFrame>
      <xdr:nvGraphicFramePr>
        <xdr:cNvPr id="263" name="Chart 263"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64" name="Chart 26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65" name="Chart 265"/>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66" name="Chart 266"/>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67" name="Chart 267"/>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885825</xdr:colOff>
      <xdr:row>0</xdr:row>
      <xdr:rowOff>0</xdr:rowOff>
    </xdr:from>
    <xdr:ext cx="4762500" cy="2857500"/>
    <xdr:graphicFrame>
      <xdr:nvGraphicFramePr>
        <xdr:cNvPr id="268" name="Chart 268"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885825</xdr:colOff>
      <xdr:row>13</xdr:row>
      <xdr:rowOff>152400</xdr:rowOff>
    </xdr:from>
    <xdr:ext cx="8801100" cy="5286375"/>
    <xdr:graphicFrame>
      <xdr:nvGraphicFramePr>
        <xdr:cNvPr id="269" name="Chart 26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904875</xdr:colOff>
      <xdr:row>0</xdr:row>
      <xdr:rowOff>0</xdr:rowOff>
    </xdr:from>
    <xdr:ext cx="3981450" cy="2857500"/>
    <xdr:graphicFrame>
      <xdr:nvGraphicFramePr>
        <xdr:cNvPr id="270" name="Chart 270"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71" name="Chart 27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72" name="Chart 27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73" name="Chart 27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74" name="Chart 27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66675</xdr:colOff>
      <xdr:row>0</xdr:row>
      <xdr:rowOff>0</xdr:rowOff>
    </xdr:from>
    <xdr:ext cx="4762500" cy="2857500"/>
    <xdr:graphicFrame>
      <xdr:nvGraphicFramePr>
        <xdr:cNvPr id="275" name="Chart 27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66675</xdr:colOff>
      <xdr:row>14</xdr:row>
      <xdr:rowOff>9525</xdr:rowOff>
    </xdr:from>
    <xdr:ext cx="8677275" cy="5210175"/>
    <xdr:graphicFrame>
      <xdr:nvGraphicFramePr>
        <xdr:cNvPr id="276" name="Chart 27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12</xdr:col>
      <xdr:colOff>28575</xdr:colOff>
      <xdr:row>0</xdr:row>
      <xdr:rowOff>0</xdr:rowOff>
    </xdr:from>
    <xdr:ext cx="3914775" cy="2857500"/>
    <xdr:graphicFrame>
      <xdr:nvGraphicFramePr>
        <xdr:cNvPr id="277" name="Chart 277"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78" name="Chart 27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79" name="Chart 27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933450</xdr:colOff>
      <xdr:row>0</xdr:row>
      <xdr:rowOff>0</xdr:rowOff>
    </xdr:from>
    <xdr:ext cx="4762500" cy="2857500"/>
    <xdr:graphicFrame>
      <xdr:nvGraphicFramePr>
        <xdr:cNvPr id="280" name="Chart 28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933450</xdr:colOff>
      <xdr:row>13</xdr:row>
      <xdr:rowOff>257175</xdr:rowOff>
    </xdr:from>
    <xdr:ext cx="8772525" cy="5267325"/>
    <xdr:graphicFrame>
      <xdr:nvGraphicFramePr>
        <xdr:cNvPr id="281" name="Chart 281"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895350</xdr:colOff>
      <xdr:row>0</xdr:row>
      <xdr:rowOff>0</xdr:rowOff>
    </xdr:from>
    <xdr:ext cx="4057650" cy="2857500"/>
    <xdr:graphicFrame>
      <xdr:nvGraphicFramePr>
        <xdr:cNvPr id="282" name="Chart 282"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83" name="Chart 28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84" name="Chart 28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85" name="Chart 285"/>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286" name="Chart 286"/>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287" name="Chart 28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13</xdr:row>
      <xdr:rowOff>200025</xdr:rowOff>
    </xdr:from>
    <xdr:ext cx="8867775" cy="5324475"/>
    <xdr:graphicFrame>
      <xdr:nvGraphicFramePr>
        <xdr:cNvPr id="288" name="Chart 288"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895350</xdr:colOff>
      <xdr:row>0</xdr:row>
      <xdr:rowOff>0</xdr:rowOff>
    </xdr:from>
    <xdr:ext cx="4105275" cy="2857500"/>
    <xdr:graphicFrame>
      <xdr:nvGraphicFramePr>
        <xdr:cNvPr id="289" name="Chart 289"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90" name="Chart 290"/>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91" name="Chart 291"/>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92" name="Chart 292"/>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933450</xdr:colOff>
      <xdr:row>0</xdr:row>
      <xdr:rowOff>0</xdr:rowOff>
    </xdr:from>
    <xdr:ext cx="4762500" cy="2857500"/>
    <xdr:graphicFrame>
      <xdr:nvGraphicFramePr>
        <xdr:cNvPr id="293" name="Chart 29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13</xdr:row>
      <xdr:rowOff>133350</xdr:rowOff>
    </xdr:from>
    <xdr:ext cx="8867775" cy="5324475"/>
    <xdr:graphicFrame>
      <xdr:nvGraphicFramePr>
        <xdr:cNvPr id="294" name="Chart 294"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895350</xdr:colOff>
      <xdr:row>0</xdr:row>
      <xdr:rowOff>0</xdr:rowOff>
    </xdr:from>
    <xdr:ext cx="4038600" cy="2857500"/>
    <xdr:graphicFrame>
      <xdr:nvGraphicFramePr>
        <xdr:cNvPr id="295" name="Chart 295"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296" name="Chart 29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297" name="Chart 297"/>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298" name="Chart 298"/>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933450</xdr:colOff>
      <xdr:row>0</xdr:row>
      <xdr:rowOff>0</xdr:rowOff>
    </xdr:from>
    <xdr:ext cx="4762500" cy="2857500"/>
    <xdr:graphicFrame>
      <xdr:nvGraphicFramePr>
        <xdr:cNvPr id="299" name="Chart 29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28575</xdr:colOff>
      <xdr:row>13</xdr:row>
      <xdr:rowOff>133350</xdr:rowOff>
    </xdr:from>
    <xdr:ext cx="8677275" cy="5210175"/>
    <xdr:graphicFrame>
      <xdr:nvGraphicFramePr>
        <xdr:cNvPr id="300" name="Chart 30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942975</xdr:colOff>
      <xdr:row>0</xdr:row>
      <xdr:rowOff>0</xdr:rowOff>
    </xdr:from>
    <xdr:ext cx="3924300" cy="2857500"/>
    <xdr:graphicFrame>
      <xdr:nvGraphicFramePr>
        <xdr:cNvPr id="301" name="Chart 301"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02" name="Chart 30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03" name="Chart 30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04" name="Chart 30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05" name="Chart 305"/>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923925</xdr:colOff>
      <xdr:row>0</xdr:row>
      <xdr:rowOff>0</xdr:rowOff>
    </xdr:from>
    <xdr:ext cx="4762500" cy="2857500"/>
    <xdr:graphicFrame>
      <xdr:nvGraphicFramePr>
        <xdr:cNvPr id="306" name="Chart 30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923925</xdr:colOff>
      <xdr:row>13</xdr:row>
      <xdr:rowOff>200025</xdr:rowOff>
    </xdr:from>
    <xdr:ext cx="8848725" cy="5400675"/>
    <xdr:graphicFrame>
      <xdr:nvGraphicFramePr>
        <xdr:cNvPr id="307" name="Chart 30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885825</xdr:colOff>
      <xdr:row>0</xdr:row>
      <xdr:rowOff>0</xdr:rowOff>
    </xdr:from>
    <xdr:ext cx="4086225" cy="2857500"/>
    <xdr:graphicFrame>
      <xdr:nvGraphicFramePr>
        <xdr:cNvPr id="308" name="Chart 308"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09" name="Chart 309"/>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10" name="Chart 310"/>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11" name="Chart 311"/>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923925</xdr:colOff>
      <xdr:row>0</xdr:row>
      <xdr:rowOff>0</xdr:rowOff>
    </xdr:from>
    <xdr:ext cx="4762500" cy="2857500"/>
    <xdr:graphicFrame>
      <xdr:nvGraphicFramePr>
        <xdr:cNvPr id="312" name="Chart 312"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923925</xdr:colOff>
      <xdr:row>13</xdr:row>
      <xdr:rowOff>133350</xdr:rowOff>
    </xdr:from>
    <xdr:ext cx="8534400" cy="5124450"/>
    <xdr:graphicFrame>
      <xdr:nvGraphicFramePr>
        <xdr:cNvPr id="313" name="Chart 313"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885825</xdr:colOff>
      <xdr:row>0</xdr:row>
      <xdr:rowOff>0</xdr:rowOff>
    </xdr:from>
    <xdr:ext cx="3810000" cy="2857500"/>
    <xdr:graphicFrame>
      <xdr:nvGraphicFramePr>
        <xdr:cNvPr id="314" name="Chart 314"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15" name="Chart 31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16" name="Chart 31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17" name="Chart 31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18" name="Chart 318"/>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28575</xdr:colOff>
      <xdr:row>0</xdr:row>
      <xdr:rowOff>0</xdr:rowOff>
    </xdr:from>
    <xdr:ext cx="4762500" cy="2857500"/>
    <xdr:graphicFrame>
      <xdr:nvGraphicFramePr>
        <xdr:cNvPr id="319" name="Chart 3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28575</xdr:colOff>
      <xdr:row>13</xdr:row>
      <xdr:rowOff>200025</xdr:rowOff>
    </xdr:from>
    <xdr:ext cx="8791575" cy="5276850"/>
    <xdr:graphicFrame>
      <xdr:nvGraphicFramePr>
        <xdr:cNvPr id="320" name="Chart 3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952500</xdr:colOff>
      <xdr:row>0</xdr:row>
      <xdr:rowOff>0</xdr:rowOff>
    </xdr:from>
    <xdr:ext cx="4029075" cy="2857500"/>
    <xdr:graphicFrame>
      <xdr:nvGraphicFramePr>
        <xdr:cNvPr id="321" name="Chart 321"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22" name="Chart 32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23" name="Chart 32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24" name="Chart 32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25" name="Chart 325"/>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326" name="Chart 32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13</xdr:row>
      <xdr:rowOff>200025</xdr:rowOff>
    </xdr:from>
    <xdr:ext cx="8867775" cy="5324475"/>
    <xdr:graphicFrame>
      <xdr:nvGraphicFramePr>
        <xdr:cNvPr id="327" name="Chart 32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904875</xdr:colOff>
      <xdr:row>0</xdr:row>
      <xdr:rowOff>0</xdr:rowOff>
    </xdr:from>
    <xdr:ext cx="4124325" cy="2857500"/>
    <xdr:graphicFrame>
      <xdr:nvGraphicFramePr>
        <xdr:cNvPr id="328" name="Chart 328"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29" name="Chart 329"/>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30" name="Chart 330"/>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31" name="Chart 331"/>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933450</xdr:colOff>
      <xdr:row>0</xdr:row>
      <xdr:rowOff>0</xdr:rowOff>
    </xdr:from>
    <xdr:ext cx="4762500" cy="2857500"/>
    <xdr:graphicFrame>
      <xdr:nvGraphicFramePr>
        <xdr:cNvPr id="332" name="Chart 332"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13</xdr:row>
      <xdr:rowOff>200025</xdr:rowOff>
    </xdr:from>
    <xdr:ext cx="8801100" cy="5286375"/>
    <xdr:graphicFrame>
      <xdr:nvGraphicFramePr>
        <xdr:cNvPr id="333" name="Chart 333"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952500</xdr:colOff>
      <xdr:row>0</xdr:row>
      <xdr:rowOff>0</xdr:rowOff>
    </xdr:from>
    <xdr:ext cx="3981450" cy="2857500"/>
    <xdr:graphicFrame>
      <xdr:nvGraphicFramePr>
        <xdr:cNvPr id="334" name="Chart 334"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35" name="Chart 33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36" name="Chart 33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37" name="Chart 33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38" name="Chart 338"/>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19050</xdr:colOff>
      <xdr:row>0</xdr:row>
      <xdr:rowOff>0</xdr:rowOff>
    </xdr:from>
    <xdr:ext cx="4762500" cy="2857500"/>
    <xdr:graphicFrame>
      <xdr:nvGraphicFramePr>
        <xdr:cNvPr id="339" name="Chart 33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13</xdr:row>
      <xdr:rowOff>200025</xdr:rowOff>
    </xdr:from>
    <xdr:ext cx="8839200" cy="5305425"/>
    <xdr:graphicFrame>
      <xdr:nvGraphicFramePr>
        <xdr:cNvPr id="340" name="Chart 34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12</xdr:col>
      <xdr:colOff>28575</xdr:colOff>
      <xdr:row>0</xdr:row>
      <xdr:rowOff>0</xdr:rowOff>
    </xdr:from>
    <xdr:ext cx="3981450" cy="2857500"/>
    <xdr:graphicFrame>
      <xdr:nvGraphicFramePr>
        <xdr:cNvPr id="341" name="Chart 341"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42" name="Chart 34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43" name="Chart 34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47625</xdr:colOff>
      <xdr:row>0</xdr:row>
      <xdr:rowOff>0</xdr:rowOff>
    </xdr:from>
    <xdr:ext cx="4762500" cy="2857500"/>
    <xdr:graphicFrame>
      <xdr:nvGraphicFramePr>
        <xdr:cNvPr id="344" name="Chart 34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47625</xdr:colOff>
      <xdr:row>13</xdr:row>
      <xdr:rowOff>133350</xdr:rowOff>
    </xdr:from>
    <xdr:ext cx="8724900" cy="5238750"/>
    <xdr:graphicFrame>
      <xdr:nvGraphicFramePr>
        <xdr:cNvPr id="345" name="Chart 34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9525</xdr:colOff>
      <xdr:row>0</xdr:row>
      <xdr:rowOff>0</xdr:rowOff>
    </xdr:from>
    <xdr:ext cx="3962400" cy="2857500"/>
    <xdr:graphicFrame>
      <xdr:nvGraphicFramePr>
        <xdr:cNvPr id="346" name="Chart 346"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47" name="Chart 34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48" name="Chart 34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49" name="Chart 349"/>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50" name="Chart 350"/>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76200</xdr:colOff>
      <xdr:row>0</xdr:row>
      <xdr:rowOff>0</xdr:rowOff>
    </xdr:from>
    <xdr:ext cx="4762500" cy="2857500"/>
    <xdr:graphicFrame>
      <xdr:nvGraphicFramePr>
        <xdr:cNvPr id="351" name="Chart 35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76200</xdr:colOff>
      <xdr:row>13</xdr:row>
      <xdr:rowOff>200025</xdr:rowOff>
    </xdr:from>
    <xdr:ext cx="8772525" cy="5267325"/>
    <xdr:graphicFrame>
      <xdr:nvGraphicFramePr>
        <xdr:cNvPr id="352" name="Chart 35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12</xdr:col>
      <xdr:colOff>38100</xdr:colOff>
      <xdr:row>0</xdr:row>
      <xdr:rowOff>0</xdr:rowOff>
    </xdr:from>
    <xdr:ext cx="4010025" cy="2857500"/>
    <xdr:graphicFrame>
      <xdr:nvGraphicFramePr>
        <xdr:cNvPr id="353" name="Chart 353"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54" name="Chart 35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55" name="Chart 355"/>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76200</xdr:colOff>
      <xdr:row>28</xdr:row>
      <xdr:rowOff>0</xdr:rowOff>
    </xdr:from>
    <xdr:ext cx="3733800" cy="2800350"/>
    <xdr:graphicFrame>
      <xdr:nvGraphicFramePr>
        <xdr:cNvPr id="356" name="Chart 35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104775</xdr:colOff>
      <xdr:row>0</xdr:row>
      <xdr:rowOff>0</xdr:rowOff>
    </xdr:from>
    <xdr:ext cx="4762500" cy="2857500"/>
    <xdr:graphicFrame>
      <xdr:nvGraphicFramePr>
        <xdr:cNvPr id="357" name="Chart 35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104775</xdr:colOff>
      <xdr:row>13</xdr:row>
      <xdr:rowOff>123825</xdr:rowOff>
    </xdr:from>
    <xdr:ext cx="8572500" cy="5334000"/>
    <xdr:graphicFrame>
      <xdr:nvGraphicFramePr>
        <xdr:cNvPr id="358" name="Chart 358"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0</xdr:row>
      <xdr:rowOff>0</xdr:rowOff>
    </xdr:from>
    <xdr:ext cx="3810000" cy="2857500"/>
    <xdr:graphicFrame>
      <xdr:nvGraphicFramePr>
        <xdr:cNvPr id="359" name="Chart 359"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60" name="Chart 360"/>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61" name="Chart 361"/>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62" name="Chart 362"/>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57150</xdr:colOff>
      <xdr:row>0</xdr:row>
      <xdr:rowOff>0</xdr:rowOff>
    </xdr:from>
    <xdr:ext cx="4762500" cy="2857500"/>
    <xdr:graphicFrame>
      <xdr:nvGraphicFramePr>
        <xdr:cNvPr id="363" name="Chart 36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57150</xdr:colOff>
      <xdr:row>13</xdr:row>
      <xdr:rowOff>133350</xdr:rowOff>
    </xdr:from>
    <xdr:ext cx="8705850" cy="5229225"/>
    <xdr:graphicFrame>
      <xdr:nvGraphicFramePr>
        <xdr:cNvPr id="364" name="Chart 364"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19050</xdr:colOff>
      <xdr:row>0</xdr:row>
      <xdr:rowOff>0</xdr:rowOff>
    </xdr:from>
    <xdr:ext cx="3943350" cy="2857500"/>
    <xdr:graphicFrame>
      <xdr:nvGraphicFramePr>
        <xdr:cNvPr id="365" name="Chart 365"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66" name="Chart 36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67" name="Chart 367"/>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68" name="Chart 368"/>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69" name="Chart 369"/>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28575</xdr:colOff>
      <xdr:row>0</xdr:row>
      <xdr:rowOff>0</xdr:rowOff>
    </xdr:from>
    <xdr:ext cx="4762500" cy="2857500"/>
    <xdr:graphicFrame>
      <xdr:nvGraphicFramePr>
        <xdr:cNvPr id="370" name="Chart 37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28575</xdr:colOff>
      <xdr:row>13</xdr:row>
      <xdr:rowOff>142875</xdr:rowOff>
    </xdr:from>
    <xdr:ext cx="8610600" cy="5172075"/>
    <xdr:graphicFrame>
      <xdr:nvGraphicFramePr>
        <xdr:cNvPr id="371" name="Chart 371"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952500</xdr:colOff>
      <xdr:row>0</xdr:row>
      <xdr:rowOff>0</xdr:rowOff>
    </xdr:from>
    <xdr:ext cx="3905250" cy="2857500"/>
    <xdr:graphicFrame>
      <xdr:nvGraphicFramePr>
        <xdr:cNvPr id="372" name="Chart 372"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73" name="Chart 37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74" name="Chart 37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75" name="Chart 375"/>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76" name="Chart 376"/>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885825</xdr:colOff>
      <xdr:row>0</xdr:row>
      <xdr:rowOff>0</xdr:rowOff>
    </xdr:from>
    <xdr:ext cx="4762500" cy="2857500"/>
    <xdr:graphicFrame>
      <xdr:nvGraphicFramePr>
        <xdr:cNvPr id="377" name="Chart 37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885825</xdr:colOff>
      <xdr:row>13</xdr:row>
      <xdr:rowOff>200025</xdr:rowOff>
    </xdr:from>
    <xdr:ext cx="8886825" cy="5334000"/>
    <xdr:graphicFrame>
      <xdr:nvGraphicFramePr>
        <xdr:cNvPr id="378" name="Chart 378"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790575</xdr:colOff>
      <xdr:row>0</xdr:row>
      <xdr:rowOff>0</xdr:rowOff>
    </xdr:from>
    <xdr:ext cx="4238625" cy="2857500"/>
    <xdr:graphicFrame>
      <xdr:nvGraphicFramePr>
        <xdr:cNvPr id="379" name="Chart 379"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80" name="Chart 380"/>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81" name="Chart 381"/>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82" name="Chart 382"/>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83" name="Chart 383"/>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384" name="Chart 384"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923925</xdr:colOff>
      <xdr:row>13</xdr:row>
      <xdr:rowOff>200025</xdr:rowOff>
    </xdr:from>
    <xdr:ext cx="8829675" cy="5314950"/>
    <xdr:graphicFrame>
      <xdr:nvGraphicFramePr>
        <xdr:cNvPr id="385" name="Chart 385"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12</xdr:col>
      <xdr:colOff>9525</xdr:colOff>
      <xdr:row>0</xdr:row>
      <xdr:rowOff>0</xdr:rowOff>
    </xdr:from>
    <xdr:ext cx="3933825" cy="2857500"/>
    <xdr:graphicFrame>
      <xdr:nvGraphicFramePr>
        <xdr:cNvPr id="386" name="Chart 386"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87" name="Chart 38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88" name="Chart 38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89" name="Chart 389"/>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90" name="Chart 390"/>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391" name="Chart 391"/>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0</xdr:row>
      <xdr:rowOff>0</xdr:rowOff>
    </xdr:from>
    <xdr:ext cx="4762500" cy="2857500"/>
    <xdr:graphicFrame>
      <xdr:nvGraphicFramePr>
        <xdr:cNvPr id="392" name="Chart 39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933450</xdr:colOff>
      <xdr:row>13</xdr:row>
      <xdr:rowOff>142875</xdr:rowOff>
    </xdr:from>
    <xdr:ext cx="8801100" cy="5286375"/>
    <xdr:graphicFrame>
      <xdr:nvGraphicFramePr>
        <xdr:cNvPr id="393" name="Chart 39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895350</xdr:colOff>
      <xdr:row>0</xdr:row>
      <xdr:rowOff>0</xdr:rowOff>
    </xdr:from>
    <xdr:ext cx="4114800" cy="2857500"/>
    <xdr:graphicFrame>
      <xdr:nvGraphicFramePr>
        <xdr:cNvPr id="394" name="Chart 394"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395" name="Chart 39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396" name="Chart 39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397" name="Chart 39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398" name="Chart 398"/>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28575</xdr:colOff>
      <xdr:row>0</xdr:row>
      <xdr:rowOff>0</xdr:rowOff>
    </xdr:from>
    <xdr:ext cx="4762500" cy="2857500"/>
    <xdr:graphicFrame>
      <xdr:nvGraphicFramePr>
        <xdr:cNvPr id="399" name="Chart 39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28575</xdr:colOff>
      <xdr:row>14</xdr:row>
      <xdr:rowOff>0</xdr:rowOff>
    </xdr:from>
    <xdr:ext cx="8772525" cy="5267325"/>
    <xdr:graphicFrame>
      <xdr:nvGraphicFramePr>
        <xdr:cNvPr id="400" name="Chart 40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952500</xdr:colOff>
      <xdr:row>0</xdr:row>
      <xdr:rowOff>0</xdr:rowOff>
    </xdr:from>
    <xdr:ext cx="4010025" cy="2857500"/>
    <xdr:graphicFrame>
      <xdr:nvGraphicFramePr>
        <xdr:cNvPr id="401" name="Chart 401"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02" name="Chart 40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03" name="Chart 40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04" name="Chart 40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405" name="Chart 405"/>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406" name="Chart 40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13</xdr:row>
      <xdr:rowOff>200025</xdr:rowOff>
    </xdr:from>
    <xdr:ext cx="8915400" cy="5353050"/>
    <xdr:graphicFrame>
      <xdr:nvGraphicFramePr>
        <xdr:cNvPr id="407" name="Chart 40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857250</xdr:colOff>
      <xdr:row>0</xdr:row>
      <xdr:rowOff>0</xdr:rowOff>
    </xdr:from>
    <xdr:ext cx="4191000" cy="2857500"/>
    <xdr:graphicFrame>
      <xdr:nvGraphicFramePr>
        <xdr:cNvPr id="408" name="Chart 408"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09" name="Chart 409"/>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10" name="Chart 410"/>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11" name="Chart 411"/>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38100</xdr:colOff>
      <xdr:row>0</xdr:row>
      <xdr:rowOff>0</xdr:rowOff>
    </xdr:from>
    <xdr:ext cx="4762500" cy="2857500"/>
    <xdr:graphicFrame>
      <xdr:nvGraphicFramePr>
        <xdr:cNvPr id="412" name="Chart 412"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13</xdr:row>
      <xdr:rowOff>133350</xdr:rowOff>
    </xdr:from>
    <xdr:ext cx="8839200" cy="5305425"/>
    <xdr:graphicFrame>
      <xdr:nvGraphicFramePr>
        <xdr:cNvPr id="413" name="Chart 413"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0</xdr:colOff>
      <xdr:row>0</xdr:row>
      <xdr:rowOff>0</xdr:rowOff>
    </xdr:from>
    <xdr:ext cx="4010025" cy="2857500"/>
    <xdr:graphicFrame>
      <xdr:nvGraphicFramePr>
        <xdr:cNvPr id="414" name="Chart 414"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15" name="Chart 41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16" name="Chart 41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17" name="Chart 41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66675</xdr:colOff>
      <xdr:row>0</xdr:row>
      <xdr:rowOff>0</xdr:rowOff>
    </xdr:from>
    <xdr:ext cx="4762500" cy="2857500"/>
    <xdr:graphicFrame>
      <xdr:nvGraphicFramePr>
        <xdr:cNvPr id="418" name="Chart 4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66675</xdr:colOff>
      <xdr:row>13</xdr:row>
      <xdr:rowOff>133350</xdr:rowOff>
    </xdr:from>
    <xdr:ext cx="8715375" cy="5238750"/>
    <xdr:graphicFrame>
      <xdr:nvGraphicFramePr>
        <xdr:cNvPr id="419" name="Chart 4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28575</xdr:colOff>
      <xdr:row>0</xdr:row>
      <xdr:rowOff>0</xdr:rowOff>
    </xdr:from>
    <xdr:ext cx="3952875" cy="2857500"/>
    <xdr:graphicFrame>
      <xdr:nvGraphicFramePr>
        <xdr:cNvPr id="420" name="Chart 420"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21" name="Chart 42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22" name="Chart 42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23" name="Chart 42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424" name="Chart 42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425" name="Chart 42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14</xdr:row>
      <xdr:rowOff>9525</xdr:rowOff>
    </xdr:from>
    <xdr:ext cx="8791575" cy="5276850"/>
    <xdr:graphicFrame>
      <xdr:nvGraphicFramePr>
        <xdr:cNvPr id="426" name="Chart 42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904875</xdr:colOff>
      <xdr:row>0</xdr:row>
      <xdr:rowOff>0</xdr:rowOff>
    </xdr:from>
    <xdr:ext cx="4019550" cy="2857500"/>
    <xdr:graphicFrame>
      <xdr:nvGraphicFramePr>
        <xdr:cNvPr id="427" name="Chart 427"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28" name="Chart 42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29" name="Chart 42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30" name="Chart 430"/>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431" name="Chart 431"/>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432" name="Chart 432"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13</xdr:row>
      <xdr:rowOff>200025</xdr:rowOff>
    </xdr:from>
    <xdr:ext cx="8839200" cy="5305425"/>
    <xdr:graphicFrame>
      <xdr:nvGraphicFramePr>
        <xdr:cNvPr id="433" name="Chart 433"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895350</xdr:colOff>
      <xdr:row>0</xdr:row>
      <xdr:rowOff>0</xdr:rowOff>
    </xdr:from>
    <xdr:ext cx="4076700" cy="2857500"/>
    <xdr:graphicFrame>
      <xdr:nvGraphicFramePr>
        <xdr:cNvPr id="434" name="Chart 434"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35" name="Chart 43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36" name="Chart 43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37" name="Chart 43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438" name="Chart 438"/>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439" name="Chart 43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13</xdr:row>
      <xdr:rowOff>200025</xdr:rowOff>
    </xdr:from>
    <xdr:ext cx="8753475" cy="5257800"/>
    <xdr:graphicFrame>
      <xdr:nvGraphicFramePr>
        <xdr:cNvPr id="440" name="Chart 44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895350</xdr:colOff>
      <xdr:row>0</xdr:row>
      <xdr:rowOff>0</xdr:rowOff>
    </xdr:from>
    <xdr:ext cx="3933825" cy="2857500"/>
    <xdr:graphicFrame>
      <xdr:nvGraphicFramePr>
        <xdr:cNvPr id="441" name="Chart 441"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42" name="Chart 44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43" name="Chart 44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44" name="Chart 44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445" name="Chart 445"/>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446" name="Chart 44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885825</xdr:colOff>
      <xdr:row>13</xdr:row>
      <xdr:rowOff>200025</xdr:rowOff>
    </xdr:from>
    <xdr:ext cx="8839200" cy="5305425"/>
    <xdr:graphicFrame>
      <xdr:nvGraphicFramePr>
        <xdr:cNvPr id="447" name="Chart 44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895350</xdr:colOff>
      <xdr:row>0</xdr:row>
      <xdr:rowOff>0</xdr:rowOff>
    </xdr:from>
    <xdr:ext cx="4029075" cy="2857500"/>
    <xdr:graphicFrame>
      <xdr:nvGraphicFramePr>
        <xdr:cNvPr id="448" name="Chart 448"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49" name="Chart 449"/>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50" name="Chart 450"/>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51" name="Chart 451"/>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452" name="Chart 452"/>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933450</xdr:colOff>
      <xdr:row>0</xdr:row>
      <xdr:rowOff>0</xdr:rowOff>
    </xdr:from>
    <xdr:ext cx="4762500" cy="2857500"/>
    <xdr:graphicFrame>
      <xdr:nvGraphicFramePr>
        <xdr:cNvPr id="453" name="Chart 453"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933450</xdr:colOff>
      <xdr:row>14</xdr:row>
      <xdr:rowOff>9525</xdr:rowOff>
    </xdr:from>
    <xdr:ext cx="8801100" cy="5286375"/>
    <xdr:graphicFrame>
      <xdr:nvGraphicFramePr>
        <xdr:cNvPr id="454" name="Chart 454"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904875</xdr:colOff>
      <xdr:row>0</xdr:row>
      <xdr:rowOff>0</xdr:rowOff>
    </xdr:from>
    <xdr:ext cx="4029075" cy="2857500"/>
    <xdr:graphicFrame>
      <xdr:nvGraphicFramePr>
        <xdr:cNvPr id="455" name="Chart 455"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56" name="Chart 45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57" name="Chart 457"/>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58" name="Chart 458"/>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459" name="Chart 459"/>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19050</xdr:colOff>
      <xdr:row>0</xdr:row>
      <xdr:rowOff>0</xdr:rowOff>
    </xdr:from>
    <xdr:ext cx="4762500" cy="2857500"/>
    <xdr:graphicFrame>
      <xdr:nvGraphicFramePr>
        <xdr:cNvPr id="460" name="Chart 46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19050</xdr:colOff>
      <xdr:row>13</xdr:row>
      <xdr:rowOff>200025</xdr:rowOff>
    </xdr:from>
    <xdr:ext cx="8753475" cy="5257800"/>
    <xdr:graphicFrame>
      <xdr:nvGraphicFramePr>
        <xdr:cNvPr id="461" name="Chart 461"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942975</xdr:colOff>
      <xdr:row>0</xdr:row>
      <xdr:rowOff>0</xdr:rowOff>
    </xdr:from>
    <xdr:ext cx="3990975" cy="2857500"/>
    <xdr:graphicFrame>
      <xdr:nvGraphicFramePr>
        <xdr:cNvPr id="462" name="Chart 462"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63" name="Chart 46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64" name="Chart 46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933450</xdr:colOff>
      <xdr:row>0</xdr:row>
      <xdr:rowOff>0</xdr:rowOff>
    </xdr:from>
    <xdr:ext cx="4762500" cy="2857500"/>
    <xdr:graphicFrame>
      <xdr:nvGraphicFramePr>
        <xdr:cNvPr id="465" name="Chart 46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933450</xdr:colOff>
      <xdr:row>13</xdr:row>
      <xdr:rowOff>123825</xdr:rowOff>
    </xdr:from>
    <xdr:ext cx="8724900" cy="5238750"/>
    <xdr:graphicFrame>
      <xdr:nvGraphicFramePr>
        <xdr:cNvPr id="466" name="Chart 46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752475</xdr:colOff>
      <xdr:row>0</xdr:row>
      <xdr:rowOff>0</xdr:rowOff>
    </xdr:from>
    <xdr:ext cx="4105275" cy="2857500"/>
    <xdr:graphicFrame>
      <xdr:nvGraphicFramePr>
        <xdr:cNvPr id="467" name="Chart 467"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68" name="Chart 46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69" name="Chart 46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70" name="Chart 470"/>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471" name="Chart 471"/>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472" name="Chart 472"/>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0</xdr:colOff>
      <xdr:row>70</xdr:row>
      <xdr:rowOff>0</xdr:rowOff>
    </xdr:from>
    <xdr:ext cx="3810000" cy="2857500"/>
    <xdr:graphicFrame>
      <xdr:nvGraphicFramePr>
        <xdr:cNvPr id="473" name="Chart 473"/>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xdr:col>
      <xdr:colOff>0</xdr:colOff>
      <xdr:row>84</xdr:row>
      <xdr:rowOff>0</xdr:rowOff>
    </xdr:from>
    <xdr:ext cx="3810000" cy="2857500"/>
    <xdr:graphicFrame>
      <xdr:nvGraphicFramePr>
        <xdr:cNvPr id="474" name="Chart 474"/>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xdr:col>
      <xdr:colOff>0</xdr:colOff>
      <xdr:row>98</xdr:row>
      <xdr:rowOff>0</xdr:rowOff>
    </xdr:from>
    <xdr:ext cx="3810000" cy="2857500"/>
    <xdr:graphicFrame>
      <xdr:nvGraphicFramePr>
        <xdr:cNvPr id="475" name="Chart 475"/>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0</xdr:colOff>
      <xdr:row>112</xdr:row>
      <xdr:rowOff>0</xdr:rowOff>
    </xdr:from>
    <xdr:ext cx="3810000" cy="2857500"/>
    <xdr:graphicFrame>
      <xdr:nvGraphicFramePr>
        <xdr:cNvPr id="476" name="Chart 476"/>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xdr:col>
      <xdr:colOff>0</xdr:colOff>
      <xdr:row>126</xdr:row>
      <xdr:rowOff>0</xdr:rowOff>
    </xdr:from>
    <xdr:ext cx="3810000" cy="2857500"/>
    <xdr:graphicFrame>
      <xdr:nvGraphicFramePr>
        <xdr:cNvPr id="477" name="Chart 477"/>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15</xdr:col>
      <xdr:colOff>0</xdr:colOff>
      <xdr:row>9</xdr:row>
      <xdr:rowOff>0</xdr:rowOff>
    </xdr:from>
    <xdr:ext cx="4762500" cy="2857500"/>
    <xdr:graphicFrame>
      <xdr:nvGraphicFramePr>
        <xdr:cNvPr id="478" name="Chart 478"/>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15</xdr:col>
      <xdr:colOff>0</xdr:colOff>
      <xdr:row>23</xdr:row>
      <xdr:rowOff>0</xdr:rowOff>
    </xdr:from>
    <xdr:ext cx="4762500" cy="2857500"/>
    <xdr:graphicFrame>
      <xdr:nvGraphicFramePr>
        <xdr:cNvPr id="479" name="Chart 479"/>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15</xdr:col>
      <xdr:colOff>0</xdr:colOff>
      <xdr:row>48</xdr:row>
      <xdr:rowOff>0</xdr:rowOff>
    </xdr:from>
    <xdr:ext cx="4762500" cy="2857500"/>
    <xdr:graphicFrame>
      <xdr:nvGraphicFramePr>
        <xdr:cNvPr id="480" name="Chart 480"/>
        <xdr:cNvGraphicFramePr/>
      </xdr:nvGraphicFramePr>
      <xdr:xfrm>
        <a:off x="0" y="0"/>
        <a:ext cx="0" cy="0"/>
      </xdr:xfrm>
      <a:graphic>
        <a:graphicData uri="http://schemas.openxmlformats.org/drawingml/2006/chart">
          <c:chart r:id="rId13"/>
        </a:graphicData>
      </a:graphic>
    </xdr:graphicFrame>
    <xdr:clientData fLocksWithSheet="0"/>
  </xdr:oneCellAnchor>
</xdr:wsD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81" name="Chart 48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82" name="Chart 48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83" name="Chart 48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484" name="Chart 48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485" name="Chart 48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0</xdr:colOff>
      <xdr:row>70</xdr:row>
      <xdr:rowOff>0</xdr:rowOff>
    </xdr:from>
    <xdr:ext cx="3810000" cy="2857500"/>
    <xdr:graphicFrame>
      <xdr:nvGraphicFramePr>
        <xdr:cNvPr id="486" name="Chart 48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15</xdr:col>
      <xdr:colOff>0</xdr:colOff>
      <xdr:row>9</xdr:row>
      <xdr:rowOff>0</xdr:rowOff>
    </xdr:from>
    <xdr:ext cx="4762500" cy="2857500"/>
    <xdr:graphicFrame>
      <xdr:nvGraphicFramePr>
        <xdr:cNvPr id="487" name="Chart 48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15</xdr:col>
      <xdr:colOff>0</xdr:colOff>
      <xdr:row>23</xdr:row>
      <xdr:rowOff>0</xdr:rowOff>
    </xdr:from>
    <xdr:ext cx="4762500" cy="2857500"/>
    <xdr:graphicFrame>
      <xdr:nvGraphicFramePr>
        <xdr:cNvPr id="488" name="Chart 488"/>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15</xdr:col>
      <xdr:colOff>0</xdr:colOff>
      <xdr:row>48</xdr:row>
      <xdr:rowOff>0</xdr:rowOff>
    </xdr:from>
    <xdr:ext cx="4762500" cy="2857500"/>
    <xdr:graphicFrame>
      <xdr:nvGraphicFramePr>
        <xdr:cNvPr id="489" name="Chart 489"/>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810000" cy="2857500"/>
    <xdr:graphicFrame>
      <xdr:nvGraphicFramePr>
        <xdr:cNvPr id="490" name="Chart 490"/>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14</xdr:row>
      <xdr:rowOff>0</xdr:rowOff>
    </xdr:from>
    <xdr:ext cx="3810000" cy="2857500"/>
    <xdr:graphicFrame>
      <xdr:nvGraphicFramePr>
        <xdr:cNvPr id="491" name="Chart 491"/>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28</xdr:row>
      <xdr:rowOff>0</xdr:rowOff>
    </xdr:from>
    <xdr:ext cx="3810000" cy="2857500"/>
    <xdr:graphicFrame>
      <xdr:nvGraphicFramePr>
        <xdr:cNvPr id="492" name="Chart 492"/>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42</xdr:row>
      <xdr:rowOff>0</xdr:rowOff>
    </xdr:from>
    <xdr:ext cx="3810000" cy="2857500"/>
    <xdr:graphicFrame>
      <xdr:nvGraphicFramePr>
        <xdr:cNvPr id="493" name="Chart 493"/>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56</xdr:row>
      <xdr:rowOff>0</xdr:rowOff>
    </xdr:from>
    <xdr:ext cx="3810000" cy="2857500"/>
    <xdr:graphicFrame>
      <xdr:nvGraphicFramePr>
        <xdr:cNvPr id="494" name="Chart 494"/>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15</xdr:col>
      <xdr:colOff>0</xdr:colOff>
      <xdr:row>9</xdr:row>
      <xdr:rowOff>0</xdr:rowOff>
    </xdr:from>
    <xdr:ext cx="4762500" cy="2857500"/>
    <xdr:graphicFrame>
      <xdr:nvGraphicFramePr>
        <xdr:cNvPr id="495" name="Chart 495"/>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15</xdr:col>
      <xdr:colOff>0</xdr:colOff>
      <xdr:row>23</xdr:row>
      <xdr:rowOff>0</xdr:rowOff>
    </xdr:from>
    <xdr:ext cx="4762500" cy="2857500"/>
    <xdr:graphicFrame>
      <xdr:nvGraphicFramePr>
        <xdr:cNvPr id="496" name="Chart 496"/>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15</xdr:col>
      <xdr:colOff>0</xdr:colOff>
      <xdr:row>48</xdr:row>
      <xdr:rowOff>0</xdr:rowOff>
    </xdr:from>
    <xdr:ext cx="4762500" cy="2857500"/>
    <xdr:graphicFrame>
      <xdr:nvGraphicFramePr>
        <xdr:cNvPr id="497" name="Chart 497"/>
        <xdr:cNvGraphicFramePr/>
      </xdr:nvGraphicFramePr>
      <xdr:xfrm>
        <a:off x="0" y="0"/>
        <a:ext cx="0" cy="0"/>
      </xdr:xfrm>
      <a:graphic>
        <a:graphicData uri="http://schemas.openxmlformats.org/drawingml/2006/chart">
          <c:chart r:id="rId8"/>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lections.hawaii.gov/resources/registration-voter-turnout-statistic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62.88"/>
  </cols>
  <sheetData>
    <row r="1">
      <c r="A1" s="1" t="s">
        <v>0</v>
      </c>
      <c r="B1" s="2" t="s">
        <v>1</v>
      </c>
    </row>
    <row r="2">
      <c r="B2" s="3"/>
    </row>
    <row r="3">
      <c r="A3" s="1" t="s">
        <v>2</v>
      </c>
      <c r="B3" s="2" t="s">
        <v>3</v>
      </c>
    </row>
    <row r="4">
      <c r="A4" s="1" t="s">
        <v>4</v>
      </c>
      <c r="B4" s="2" t="s">
        <v>5</v>
      </c>
    </row>
    <row r="5">
      <c r="A5" s="1" t="s">
        <v>6</v>
      </c>
      <c r="B5" s="2" t="s">
        <v>7</v>
      </c>
    </row>
    <row r="6">
      <c r="B6" s="3"/>
    </row>
    <row r="7">
      <c r="A7" s="1" t="s">
        <v>8</v>
      </c>
      <c r="B7" s="2" t="s">
        <v>9</v>
      </c>
    </row>
    <row r="8">
      <c r="A8" s="1" t="s">
        <v>10</v>
      </c>
      <c r="B8" s="2" t="s">
        <v>11</v>
      </c>
    </row>
    <row r="9">
      <c r="A9" s="1" t="s">
        <v>12</v>
      </c>
      <c r="B9" s="2" t="s">
        <v>13</v>
      </c>
    </row>
    <row r="10">
      <c r="B10" s="3"/>
    </row>
    <row r="11">
      <c r="A11" s="4" t="s">
        <v>14</v>
      </c>
      <c r="B11" s="3"/>
    </row>
    <row r="12">
      <c r="B12" s="3"/>
    </row>
    <row r="13">
      <c r="B13" s="3"/>
    </row>
    <row r="14">
      <c r="B14" s="3"/>
    </row>
    <row r="15">
      <c r="B15" s="3"/>
    </row>
    <row r="16">
      <c r="B16" s="3"/>
    </row>
    <row r="17">
      <c r="B17" s="3"/>
    </row>
    <row r="18">
      <c r="B18" s="3"/>
    </row>
    <row r="19">
      <c r="B19" s="3"/>
    </row>
    <row r="20">
      <c r="B20" s="3"/>
    </row>
    <row r="21">
      <c r="B21" s="3"/>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hyperlinks>
    <hyperlink r:id="rId1" ref="A1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63"/>
    <col customWidth="1" min="2" max="2" width="10.75"/>
    <col customWidth="1" min="3" max="4" width="13.38"/>
    <col customWidth="1" min="5" max="5" width="17.88"/>
    <col customWidth="1" min="6" max="6" width="70.25"/>
    <col customWidth="1" min="7" max="7" width="26.63"/>
    <col customWidth="1" min="8" max="9" width="55.13"/>
    <col customWidth="1" min="10" max="10" width="26.25"/>
    <col customWidth="1" min="15" max="15" width="15.63"/>
    <col customWidth="1" min="17" max="17" width="15.5"/>
  </cols>
  <sheetData>
    <row r="1">
      <c r="A1" s="5" t="s">
        <v>15</v>
      </c>
      <c r="B1" s="6" t="s">
        <v>0</v>
      </c>
      <c r="C1" s="1" t="s">
        <v>16</v>
      </c>
      <c r="D1" s="1" t="s">
        <v>17</v>
      </c>
      <c r="E1" s="7" t="s">
        <v>18</v>
      </c>
      <c r="F1" s="8" t="s">
        <v>19</v>
      </c>
      <c r="G1" s="8" t="s">
        <v>20</v>
      </c>
      <c r="H1" s="8" t="s">
        <v>19</v>
      </c>
      <c r="I1" s="8" t="s">
        <v>21</v>
      </c>
      <c r="J1" s="1" t="s">
        <v>22</v>
      </c>
      <c r="K1" s="9"/>
      <c r="L1" s="10"/>
      <c r="M1" s="9"/>
      <c r="N1" s="9"/>
      <c r="O1" s="9"/>
      <c r="P1" s="9"/>
      <c r="Q1" s="9"/>
      <c r="R1" s="9"/>
      <c r="S1" s="9"/>
      <c r="T1" s="9"/>
      <c r="U1" s="9"/>
      <c r="V1" s="9"/>
      <c r="W1" s="9"/>
      <c r="X1" s="9"/>
      <c r="Y1" s="9"/>
      <c r="Z1" s="9"/>
      <c r="AA1" s="9"/>
      <c r="AB1" s="9"/>
    </row>
    <row r="2">
      <c r="A2" s="11" t="s">
        <v>23</v>
      </c>
      <c r="B2" s="12">
        <v>2828.4</v>
      </c>
      <c r="C2" s="13" t="s">
        <v>24</v>
      </c>
      <c r="D2" s="13" t="s">
        <v>25</v>
      </c>
      <c r="E2" s="13">
        <v>5.0</v>
      </c>
      <c r="F2" s="2" t="s">
        <v>26</v>
      </c>
      <c r="G2" s="2">
        <v>1.0</v>
      </c>
      <c r="H2" s="2" t="s">
        <v>27</v>
      </c>
      <c r="I2" s="2">
        <f t="shared" ref="I2:I65" si="1">G2+E2</f>
        <v>6</v>
      </c>
      <c r="J2" s="13" t="s">
        <v>28</v>
      </c>
      <c r="L2" s="8"/>
    </row>
    <row r="3">
      <c r="A3" s="11" t="s">
        <v>29</v>
      </c>
      <c r="B3" s="12">
        <v>2790.6</v>
      </c>
      <c r="C3" s="13" t="s">
        <v>30</v>
      </c>
      <c r="D3" s="13" t="s">
        <v>25</v>
      </c>
      <c r="E3" s="14">
        <v>5.0</v>
      </c>
      <c r="F3" s="2" t="s">
        <v>31</v>
      </c>
      <c r="G3" s="2">
        <v>5.0</v>
      </c>
      <c r="H3" s="2" t="s">
        <v>32</v>
      </c>
      <c r="I3" s="2">
        <f t="shared" si="1"/>
        <v>10</v>
      </c>
      <c r="J3" s="13" t="s">
        <v>33</v>
      </c>
      <c r="L3" s="10"/>
    </row>
    <row r="4">
      <c r="A4" s="11" t="s">
        <v>34</v>
      </c>
      <c r="B4" s="12">
        <v>2561.4</v>
      </c>
      <c r="C4" s="13" t="s">
        <v>35</v>
      </c>
      <c r="D4" s="13" t="s">
        <v>25</v>
      </c>
      <c r="E4" s="13">
        <v>5.0</v>
      </c>
      <c r="F4" s="2" t="s">
        <v>36</v>
      </c>
      <c r="G4" s="2">
        <v>0.0</v>
      </c>
      <c r="H4" s="2" t="s">
        <v>37</v>
      </c>
      <c r="I4" s="2">
        <f t="shared" si="1"/>
        <v>5</v>
      </c>
      <c r="J4" s="13" t="s">
        <v>28</v>
      </c>
      <c r="L4" s="10"/>
    </row>
    <row r="5">
      <c r="A5" s="11" t="s">
        <v>38</v>
      </c>
      <c r="B5" s="12"/>
      <c r="C5" s="13" t="s">
        <v>39</v>
      </c>
      <c r="D5" s="13" t="s">
        <v>25</v>
      </c>
      <c r="E5" s="13">
        <v>5.0</v>
      </c>
      <c r="F5" s="2" t="s">
        <v>40</v>
      </c>
      <c r="G5" s="2">
        <v>2.0</v>
      </c>
      <c r="H5" s="2" t="s">
        <v>41</v>
      </c>
      <c r="I5" s="2">
        <f t="shared" si="1"/>
        <v>7</v>
      </c>
      <c r="J5" s="13" t="s">
        <v>42</v>
      </c>
      <c r="L5" s="10"/>
    </row>
    <row r="6">
      <c r="A6" s="11" t="s">
        <v>43</v>
      </c>
      <c r="B6" s="12">
        <v>1413.3</v>
      </c>
      <c r="C6" s="13" t="s">
        <v>44</v>
      </c>
      <c r="D6" s="13" t="s">
        <v>25</v>
      </c>
      <c r="E6" s="13">
        <v>5.0</v>
      </c>
      <c r="F6" s="2" t="s">
        <v>45</v>
      </c>
      <c r="G6" s="2">
        <v>2.0</v>
      </c>
      <c r="H6" s="2" t="s">
        <v>46</v>
      </c>
      <c r="I6" s="2">
        <f t="shared" si="1"/>
        <v>7</v>
      </c>
      <c r="J6" s="13" t="s">
        <v>33</v>
      </c>
      <c r="L6" s="10"/>
    </row>
    <row r="7">
      <c r="A7" s="11" t="s">
        <v>47</v>
      </c>
      <c r="B7" s="12"/>
      <c r="C7" s="13" t="s">
        <v>48</v>
      </c>
      <c r="D7" s="13" t="s">
        <v>25</v>
      </c>
      <c r="E7" s="13">
        <v>5.0</v>
      </c>
      <c r="F7" s="2" t="s">
        <v>49</v>
      </c>
      <c r="G7" s="2">
        <v>2.0</v>
      </c>
      <c r="H7" s="2" t="s">
        <v>50</v>
      </c>
      <c r="I7" s="2">
        <f t="shared" si="1"/>
        <v>7</v>
      </c>
      <c r="J7" s="13" t="s">
        <v>28</v>
      </c>
      <c r="L7" s="10"/>
    </row>
    <row r="8">
      <c r="A8" s="11" t="s">
        <v>51</v>
      </c>
      <c r="B8" s="12">
        <v>2173.5</v>
      </c>
      <c r="C8" s="13" t="s">
        <v>52</v>
      </c>
      <c r="D8" s="13" t="s">
        <v>25</v>
      </c>
      <c r="E8" s="13">
        <v>5.0</v>
      </c>
      <c r="F8" s="2" t="s">
        <v>53</v>
      </c>
      <c r="G8" s="2">
        <v>0.0</v>
      </c>
      <c r="H8" s="2" t="s">
        <v>54</v>
      </c>
      <c r="I8" s="2">
        <f t="shared" si="1"/>
        <v>5</v>
      </c>
      <c r="J8" s="13" t="s">
        <v>55</v>
      </c>
      <c r="L8" s="10"/>
    </row>
    <row r="9">
      <c r="A9" s="11" t="s">
        <v>56</v>
      </c>
      <c r="B9" s="12">
        <v>1473.6</v>
      </c>
      <c r="C9" s="13" t="s">
        <v>57</v>
      </c>
      <c r="D9" s="13" t="s">
        <v>25</v>
      </c>
      <c r="E9" s="13">
        <v>5.0</v>
      </c>
      <c r="F9" s="2" t="s">
        <v>58</v>
      </c>
      <c r="G9" s="2">
        <v>5.0</v>
      </c>
      <c r="H9" s="2" t="s">
        <v>59</v>
      </c>
      <c r="I9" s="2">
        <f t="shared" si="1"/>
        <v>10</v>
      </c>
      <c r="J9" s="13" t="s">
        <v>33</v>
      </c>
      <c r="L9" s="10"/>
    </row>
    <row r="10">
      <c r="A10" s="15" t="s">
        <v>60</v>
      </c>
      <c r="B10" s="12">
        <v>6231.55</v>
      </c>
      <c r="C10" s="13" t="s">
        <v>61</v>
      </c>
      <c r="D10" s="13" t="s">
        <v>25</v>
      </c>
      <c r="E10" s="13">
        <v>5.0</v>
      </c>
      <c r="F10" s="2" t="s">
        <v>62</v>
      </c>
      <c r="G10" s="2">
        <v>4.0</v>
      </c>
      <c r="H10" s="2" t="s">
        <v>63</v>
      </c>
      <c r="I10" s="2">
        <f t="shared" si="1"/>
        <v>9</v>
      </c>
      <c r="J10" s="13" t="s">
        <v>33</v>
      </c>
    </row>
    <row r="11">
      <c r="A11" s="15" t="s">
        <v>64</v>
      </c>
      <c r="B11" s="16"/>
      <c r="C11" s="13" t="s">
        <v>65</v>
      </c>
      <c r="D11" s="13" t="s">
        <v>25</v>
      </c>
      <c r="E11" s="13">
        <v>5.0</v>
      </c>
      <c r="F11" s="2" t="s">
        <v>66</v>
      </c>
      <c r="G11" s="2">
        <v>3.0</v>
      </c>
      <c r="H11" s="2" t="s">
        <v>67</v>
      </c>
      <c r="I11" s="2">
        <f t="shared" si="1"/>
        <v>8</v>
      </c>
      <c r="J11" s="13" t="s">
        <v>33</v>
      </c>
      <c r="L11" s="10"/>
    </row>
    <row r="12">
      <c r="A12" s="15" t="s">
        <v>68</v>
      </c>
      <c r="B12" s="12"/>
      <c r="C12" s="13" t="s">
        <v>69</v>
      </c>
      <c r="D12" s="13" t="s">
        <v>25</v>
      </c>
      <c r="E12" s="13">
        <v>5.0</v>
      </c>
      <c r="F12" s="2" t="s">
        <v>70</v>
      </c>
      <c r="G12" s="2">
        <v>4.0</v>
      </c>
      <c r="H12" s="2" t="s">
        <v>71</v>
      </c>
      <c r="I12" s="2">
        <f t="shared" si="1"/>
        <v>9</v>
      </c>
      <c r="J12" s="13" t="s">
        <v>33</v>
      </c>
      <c r="L12" s="1" t="s">
        <v>72</v>
      </c>
      <c r="M12" s="17">
        <f>countif(J10:J61, "P")</f>
        <v>5</v>
      </c>
    </row>
    <row r="13">
      <c r="A13" s="11" t="s">
        <v>73</v>
      </c>
      <c r="B13" s="12">
        <v>3466.7999999999997</v>
      </c>
      <c r="C13" s="13" t="s">
        <v>74</v>
      </c>
      <c r="D13" s="13" t="s">
        <v>25</v>
      </c>
      <c r="E13" s="13">
        <v>4.0</v>
      </c>
      <c r="F13" s="2" t="s">
        <v>75</v>
      </c>
      <c r="G13" s="2">
        <v>3.0</v>
      </c>
      <c r="H13" s="2" t="s">
        <v>76</v>
      </c>
      <c r="I13" s="2">
        <f t="shared" si="1"/>
        <v>7</v>
      </c>
      <c r="J13" s="13" t="s">
        <v>33</v>
      </c>
      <c r="L13" s="10"/>
    </row>
    <row r="14">
      <c r="A14" s="11" t="s">
        <v>77</v>
      </c>
      <c r="B14" s="12">
        <v>1824.8999999999999</v>
      </c>
      <c r="C14" s="13" t="s">
        <v>78</v>
      </c>
      <c r="D14" s="13" t="s">
        <v>25</v>
      </c>
      <c r="E14" s="13">
        <v>4.0</v>
      </c>
      <c r="F14" s="2" t="s">
        <v>79</v>
      </c>
      <c r="G14" s="2">
        <v>1.0</v>
      </c>
      <c r="H14" s="2" t="s">
        <v>80</v>
      </c>
      <c r="I14" s="2">
        <f t="shared" si="1"/>
        <v>5</v>
      </c>
      <c r="J14" s="13" t="s">
        <v>28</v>
      </c>
      <c r="L14" s="8"/>
      <c r="O14" s="1"/>
      <c r="Q14" s="1"/>
    </row>
    <row r="15">
      <c r="A15" s="11" t="s">
        <v>81</v>
      </c>
      <c r="B15" s="12">
        <v>2766.6</v>
      </c>
      <c r="C15" s="13" t="s">
        <v>82</v>
      </c>
      <c r="D15" s="13" t="s">
        <v>25</v>
      </c>
      <c r="E15" s="13">
        <v>4.0</v>
      </c>
      <c r="F15" s="2" t="s">
        <v>83</v>
      </c>
      <c r="G15" s="2">
        <v>3.0</v>
      </c>
      <c r="H15" s="2" t="s">
        <v>84</v>
      </c>
      <c r="I15" s="2">
        <f t="shared" si="1"/>
        <v>7</v>
      </c>
      <c r="J15" s="13" t="s">
        <v>33</v>
      </c>
      <c r="L15" s="10"/>
    </row>
    <row r="16">
      <c r="A16" s="11" t="s">
        <v>85</v>
      </c>
      <c r="B16" s="12">
        <v>3815.7</v>
      </c>
      <c r="C16" s="13" t="s">
        <v>86</v>
      </c>
      <c r="D16" s="13" t="s">
        <v>25</v>
      </c>
      <c r="E16" s="13">
        <v>4.0</v>
      </c>
      <c r="F16" s="2" t="s">
        <v>87</v>
      </c>
      <c r="G16" s="2">
        <v>3.0</v>
      </c>
      <c r="H16" s="2" t="s">
        <v>88</v>
      </c>
      <c r="I16" s="2">
        <f t="shared" si="1"/>
        <v>7</v>
      </c>
      <c r="J16" s="13" t="s">
        <v>42</v>
      </c>
      <c r="L16" s="10"/>
    </row>
    <row r="17">
      <c r="A17" s="11" t="s">
        <v>89</v>
      </c>
      <c r="B17" s="12">
        <v>2393.4</v>
      </c>
      <c r="C17" s="13" t="s">
        <v>90</v>
      </c>
      <c r="D17" s="13" t="s">
        <v>25</v>
      </c>
      <c r="E17" s="13">
        <v>4.0</v>
      </c>
      <c r="F17" s="2" t="s">
        <v>91</v>
      </c>
      <c r="G17" s="2">
        <v>2.0</v>
      </c>
      <c r="H17" s="2" t="s">
        <v>92</v>
      </c>
      <c r="I17" s="2">
        <f t="shared" si="1"/>
        <v>6</v>
      </c>
      <c r="J17" s="13" t="s">
        <v>42</v>
      </c>
      <c r="L17" s="10"/>
    </row>
    <row r="18">
      <c r="A18" s="11" t="s">
        <v>93</v>
      </c>
      <c r="B18" s="12">
        <v>2309.7</v>
      </c>
      <c r="C18" s="13" t="s">
        <v>94</v>
      </c>
      <c r="D18" s="13" t="s">
        <v>25</v>
      </c>
      <c r="E18" s="13">
        <v>4.0</v>
      </c>
      <c r="F18" s="2" t="s">
        <v>95</v>
      </c>
      <c r="G18" s="2">
        <v>1.0</v>
      </c>
      <c r="H18" s="2" t="s">
        <v>96</v>
      </c>
      <c r="I18" s="2">
        <f t="shared" si="1"/>
        <v>5</v>
      </c>
      <c r="J18" s="13" t="s">
        <v>33</v>
      </c>
      <c r="L18" s="10"/>
    </row>
    <row r="19">
      <c r="A19" s="11" t="s">
        <v>97</v>
      </c>
      <c r="B19" s="12">
        <v>3029.1</v>
      </c>
      <c r="C19" s="13" t="s">
        <v>98</v>
      </c>
      <c r="D19" s="13" t="s">
        <v>25</v>
      </c>
      <c r="E19" s="13">
        <v>4.0</v>
      </c>
      <c r="F19" s="2" t="s">
        <v>99</v>
      </c>
      <c r="G19" s="2">
        <v>3.0</v>
      </c>
      <c r="H19" s="2" t="s">
        <v>100</v>
      </c>
      <c r="I19" s="2">
        <f t="shared" si="1"/>
        <v>7</v>
      </c>
      <c r="J19" s="13" t="s">
        <v>55</v>
      </c>
      <c r="L19" s="10"/>
    </row>
    <row r="20">
      <c r="A20" s="11" t="s">
        <v>101</v>
      </c>
      <c r="B20" s="12">
        <v>1288.2</v>
      </c>
      <c r="C20" s="13" t="s">
        <v>102</v>
      </c>
      <c r="D20" s="13" t="s">
        <v>25</v>
      </c>
      <c r="E20" s="13">
        <v>4.0</v>
      </c>
      <c r="F20" s="2" t="s">
        <v>103</v>
      </c>
      <c r="G20" s="2">
        <v>2.0</v>
      </c>
      <c r="H20" s="2" t="s">
        <v>104</v>
      </c>
      <c r="I20" s="2">
        <f t="shared" si="1"/>
        <v>6</v>
      </c>
      <c r="J20" s="13" t="s">
        <v>42</v>
      </c>
      <c r="L20" s="10"/>
    </row>
    <row r="21">
      <c r="A21" s="11" t="s">
        <v>105</v>
      </c>
      <c r="B21" s="12">
        <v>2429.7</v>
      </c>
      <c r="C21" s="13" t="s">
        <v>106</v>
      </c>
      <c r="D21" s="13" t="s">
        <v>25</v>
      </c>
      <c r="E21" s="13">
        <v>4.0</v>
      </c>
      <c r="F21" s="2" t="s">
        <v>107</v>
      </c>
      <c r="G21" s="2">
        <v>2.0</v>
      </c>
      <c r="H21" s="2" t="s">
        <v>108</v>
      </c>
      <c r="I21" s="2">
        <f t="shared" si="1"/>
        <v>6</v>
      </c>
      <c r="J21" s="13" t="s">
        <v>33</v>
      </c>
      <c r="L21" s="10"/>
    </row>
    <row r="22">
      <c r="A22" s="11" t="s">
        <v>109</v>
      </c>
      <c r="B22" s="12"/>
      <c r="C22" s="13" t="s">
        <v>110</v>
      </c>
      <c r="D22" s="13" t="s">
        <v>25</v>
      </c>
      <c r="E22" s="13">
        <v>4.0</v>
      </c>
      <c r="F22" s="2" t="s">
        <v>111</v>
      </c>
      <c r="G22" s="2">
        <v>2.0</v>
      </c>
      <c r="H22" s="2" t="s">
        <v>112</v>
      </c>
      <c r="I22" s="2">
        <f t="shared" si="1"/>
        <v>6</v>
      </c>
      <c r="J22" s="13" t="s">
        <v>42</v>
      </c>
      <c r="L22" s="10"/>
    </row>
    <row r="23">
      <c r="A23" s="11" t="s">
        <v>113</v>
      </c>
      <c r="B23" s="12">
        <v>2418.0</v>
      </c>
      <c r="C23" s="13" t="s">
        <v>114</v>
      </c>
      <c r="D23" s="13" t="s">
        <v>25</v>
      </c>
      <c r="E23" s="14">
        <v>4.0</v>
      </c>
      <c r="F23" s="2" t="s">
        <v>115</v>
      </c>
      <c r="G23" s="2">
        <v>4.0</v>
      </c>
      <c r="H23" s="2" t="s">
        <v>116</v>
      </c>
      <c r="I23" s="2">
        <f t="shared" si="1"/>
        <v>8</v>
      </c>
      <c r="J23" s="13" t="s">
        <v>33</v>
      </c>
      <c r="L23" s="10"/>
    </row>
    <row r="24">
      <c r="A24" s="11" t="s">
        <v>117</v>
      </c>
      <c r="B24" s="12">
        <v>2755.7999999999997</v>
      </c>
      <c r="C24" s="13" t="s">
        <v>118</v>
      </c>
      <c r="D24" s="13" t="s">
        <v>25</v>
      </c>
      <c r="E24" s="14">
        <v>4.0</v>
      </c>
      <c r="F24" s="2" t="s">
        <v>119</v>
      </c>
      <c r="G24" s="2">
        <v>1.0</v>
      </c>
      <c r="H24" s="2" t="s">
        <v>120</v>
      </c>
      <c r="I24" s="2">
        <f t="shared" si="1"/>
        <v>5</v>
      </c>
      <c r="J24" s="13" t="s">
        <v>28</v>
      </c>
    </row>
    <row r="25">
      <c r="A25" s="11" t="s">
        <v>121</v>
      </c>
      <c r="B25" s="12"/>
      <c r="C25" s="13" t="s">
        <v>122</v>
      </c>
      <c r="D25" s="13" t="s">
        <v>25</v>
      </c>
      <c r="E25" s="13">
        <v>4.0</v>
      </c>
      <c r="F25" s="2" t="s">
        <v>123</v>
      </c>
      <c r="G25" s="2">
        <v>2.0</v>
      </c>
      <c r="H25" s="2" t="s">
        <v>124</v>
      </c>
      <c r="I25" s="2">
        <f t="shared" si="1"/>
        <v>6</v>
      </c>
      <c r="J25" s="13" t="s">
        <v>28</v>
      </c>
      <c r="L25" s="10"/>
    </row>
    <row r="26">
      <c r="A26" s="11" t="s">
        <v>125</v>
      </c>
      <c r="B26" s="12">
        <v>2031.6</v>
      </c>
      <c r="C26" s="13" t="s">
        <v>126</v>
      </c>
      <c r="D26" s="13" t="s">
        <v>25</v>
      </c>
      <c r="E26" s="18">
        <v>4.0</v>
      </c>
      <c r="F26" s="2" t="s">
        <v>127</v>
      </c>
      <c r="G26" s="13">
        <v>2.0</v>
      </c>
      <c r="H26" s="2" t="s">
        <v>128</v>
      </c>
      <c r="I26" s="2">
        <f t="shared" si="1"/>
        <v>6</v>
      </c>
      <c r="J26" s="13" t="s">
        <v>129</v>
      </c>
      <c r="L26" s="10"/>
    </row>
    <row r="27">
      <c r="A27" s="11" t="s">
        <v>130</v>
      </c>
      <c r="B27" s="12">
        <v>2285.7</v>
      </c>
      <c r="C27" s="13" t="s">
        <v>131</v>
      </c>
      <c r="D27" s="13" t="s">
        <v>25</v>
      </c>
      <c r="E27" s="18">
        <v>4.0</v>
      </c>
      <c r="F27" s="2" t="s">
        <v>132</v>
      </c>
      <c r="G27" s="13">
        <v>1.0</v>
      </c>
      <c r="H27" s="19" t="s">
        <v>133</v>
      </c>
      <c r="I27" s="2">
        <f t="shared" si="1"/>
        <v>5</v>
      </c>
      <c r="J27" s="13" t="s">
        <v>42</v>
      </c>
      <c r="L27" s="8"/>
    </row>
    <row r="28">
      <c r="A28" s="15" t="s">
        <v>134</v>
      </c>
      <c r="B28" s="16"/>
      <c r="C28" s="13" t="s">
        <v>135</v>
      </c>
      <c r="D28" s="13" t="s">
        <v>25</v>
      </c>
      <c r="E28" s="13">
        <v>4.0</v>
      </c>
      <c r="F28" s="2" t="s">
        <v>136</v>
      </c>
      <c r="G28" s="2">
        <v>2.0</v>
      </c>
      <c r="H28" s="2" t="s">
        <v>137</v>
      </c>
      <c r="I28" s="2">
        <f t="shared" si="1"/>
        <v>6</v>
      </c>
      <c r="J28" s="13" t="s">
        <v>33</v>
      </c>
      <c r="L28" s="8" t="s">
        <v>138</v>
      </c>
      <c r="M28" s="17">
        <f>countif(J21:J79, "F")</f>
        <v>0</v>
      </c>
    </row>
    <row r="29">
      <c r="A29" s="15" t="s">
        <v>139</v>
      </c>
      <c r="B29" s="16"/>
      <c r="C29" s="13" t="s">
        <v>140</v>
      </c>
      <c r="D29" s="13" t="s">
        <v>25</v>
      </c>
      <c r="E29" s="13">
        <v>4.0</v>
      </c>
      <c r="F29" s="2" t="s">
        <v>141</v>
      </c>
      <c r="G29" s="2">
        <v>4.0</v>
      </c>
      <c r="H29" s="2" t="s">
        <v>142</v>
      </c>
      <c r="I29" s="2">
        <f t="shared" si="1"/>
        <v>8</v>
      </c>
      <c r="J29" s="13" t="s">
        <v>33</v>
      </c>
      <c r="L29" s="10"/>
    </row>
    <row r="30">
      <c r="A30" s="15" t="s">
        <v>143</v>
      </c>
      <c r="B30" s="16"/>
      <c r="C30" s="13" t="s">
        <v>144</v>
      </c>
      <c r="D30" s="13" t="s">
        <v>25</v>
      </c>
      <c r="E30" s="13">
        <v>4.0</v>
      </c>
      <c r="F30" s="2" t="s">
        <v>145</v>
      </c>
      <c r="G30" s="2">
        <v>2.0</v>
      </c>
      <c r="H30" s="2" t="s">
        <v>146</v>
      </c>
      <c r="I30" s="2">
        <f t="shared" si="1"/>
        <v>6</v>
      </c>
      <c r="J30" s="13" t="s">
        <v>25</v>
      </c>
      <c r="L30" s="10"/>
    </row>
    <row r="31">
      <c r="A31" s="11" t="s">
        <v>147</v>
      </c>
      <c r="B31" s="12">
        <v>2327.1</v>
      </c>
      <c r="C31" s="13" t="s">
        <v>148</v>
      </c>
      <c r="D31" s="13" t="s">
        <v>25</v>
      </c>
      <c r="E31" s="13">
        <v>3.5</v>
      </c>
      <c r="F31" s="2" t="s">
        <v>149</v>
      </c>
      <c r="G31" s="2">
        <v>5.0</v>
      </c>
      <c r="H31" s="2" t="s">
        <v>150</v>
      </c>
      <c r="I31" s="2">
        <f t="shared" si="1"/>
        <v>8.5</v>
      </c>
      <c r="J31" s="13" t="s">
        <v>33</v>
      </c>
      <c r="L31" s="10"/>
    </row>
    <row r="32">
      <c r="A32" s="15" t="s">
        <v>151</v>
      </c>
      <c r="B32" s="12">
        <v>8418.8</v>
      </c>
      <c r="C32" s="13" t="s">
        <v>152</v>
      </c>
      <c r="D32" s="13" t="s">
        <v>25</v>
      </c>
      <c r="E32" s="13">
        <v>3.5</v>
      </c>
      <c r="F32" s="2" t="s">
        <v>153</v>
      </c>
      <c r="G32" s="2">
        <v>4.0</v>
      </c>
      <c r="H32" s="2" t="s">
        <v>154</v>
      </c>
      <c r="I32" s="2">
        <f t="shared" si="1"/>
        <v>7.5</v>
      </c>
      <c r="J32" s="13" t="s">
        <v>33</v>
      </c>
      <c r="L32" s="8" t="s">
        <v>155</v>
      </c>
      <c r="M32" s="17">
        <f>countif(J28:J85, "E")</f>
        <v>18</v>
      </c>
    </row>
    <row r="33">
      <c r="A33" s="11" t="s">
        <v>156</v>
      </c>
      <c r="B33" s="12">
        <v>3733.7999999999997</v>
      </c>
      <c r="C33" s="13" t="s">
        <v>157</v>
      </c>
      <c r="D33" s="13" t="s">
        <v>25</v>
      </c>
      <c r="E33" s="14">
        <v>3.0</v>
      </c>
      <c r="F33" s="2" t="s">
        <v>158</v>
      </c>
      <c r="G33" s="2">
        <v>1.0</v>
      </c>
      <c r="H33" s="2" t="s">
        <v>159</v>
      </c>
      <c r="I33" s="2">
        <f t="shared" si="1"/>
        <v>4</v>
      </c>
      <c r="J33" s="13" t="s">
        <v>42</v>
      </c>
      <c r="L33" s="10"/>
    </row>
    <row r="34">
      <c r="A34" s="11" t="s">
        <v>160</v>
      </c>
      <c r="B34" s="12">
        <v>3290.4</v>
      </c>
      <c r="C34" s="13" t="s">
        <v>161</v>
      </c>
      <c r="D34" s="13" t="s">
        <v>25</v>
      </c>
      <c r="E34" s="13">
        <v>3.0</v>
      </c>
      <c r="F34" s="2" t="s">
        <v>162</v>
      </c>
      <c r="G34" s="2">
        <v>3.0</v>
      </c>
      <c r="H34" s="19" t="s">
        <v>163</v>
      </c>
      <c r="I34" s="2">
        <f t="shared" si="1"/>
        <v>6</v>
      </c>
      <c r="J34" s="13" t="s">
        <v>42</v>
      </c>
      <c r="L34" s="10"/>
    </row>
    <row r="35">
      <c r="A35" s="11" t="s">
        <v>164</v>
      </c>
      <c r="B35" s="12">
        <v>2315.4</v>
      </c>
      <c r="C35" s="13" t="s">
        <v>165</v>
      </c>
      <c r="D35" s="13" t="s">
        <v>25</v>
      </c>
      <c r="E35" s="13">
        <v>3.0</v>
      </c>
      <c r="F35" s="2" t="s">
        <v>166</v>
      </c>
      <c r="G35" s="2">
        <v>5.0</v>
      </c>
      <c r="H35" s="2" t="s">
        <v>167</v>
      </c>
      <c r="I35" s="2">
        <f t="shared" si="1"/>
        <v>8</v>
      </c>
      <c r="J35" s="13" t="s">
        <v>33</v>
      </c>
      <c r="L35" s="10"/>
    </row>
    <row r="36">
      <c r="A36" s="11" t="s">
        <v>168</v>
      </c>
      <c r="B36" s="12">
        <v>2559.6</v>
      </c>
      <c r="C36" s="13" t="s">
        <v>169</v>
      </c>
      <c r="D36" s="13" t="s">
        <v>25</v>
      </c>
      <c r="E36" s="13">
        <v>3.0</v>
      </c>
      <c r="F36" s="2" t="s">
        <v>170</v>
      </c>
      <c r="G36" s="2">
        <v>0.0</v>
      </c>
      <c r="H36" s="2" t="s">
        <v>171</v>
      </c>
      <c r="I36" s="2">
        <f t="shared" si="1"/>
        <v>3</v>
      </c>
      <c r="J36" s="13" t="s">
        <v>42</v>
      </c>
      <c r="L36" s="10"/>
    </row>
    <row r="37">
      <c r="A37" s="11" t="s">
        <v>172</v>
      </c>
      <c r="B37" s="12">
        <v>4427.4</v>
      </c>
      <c r="C37" s="13" t="s">
        <v>173</v>
      </c>
      <c r="D37" s="13" t="s">
        <v>25</v>
      </c>
      <c r="E37" s="14">
        <v>3.0</v>
      </c>
      <c r="F37" s="2" t="s">
        <v>174</v>
      </c>
      <c r="G37" s="2">
        <v>3.0</v>
      </c>
      <c r="H37" s="2" t="s">
        <v>175</v>
      </c>
      <c r="I37" s="2">
        <f t="shared" si="1"/>
        <v>6</v>
      </c>
      <c r="J37" s="13" t="s">
        <v>33</v>
      </c>
      <c r="L37" s="10"/>
    </row>
    <row r="38">
      <c r="A38" s="11" t="s">
        <v>176</v>
      </c>
      <c r="B38" s="12">
        <v>3474.9</v>
      </c>
      <c r="C38" s="13" t="s">
        <v>177</v>
      </c>
      <c r="D38" s="13" t="s">
        <v>25</v>
      </c>
      <c r="E38" s="13">
        <v>3.0</v>
      </c>
      <c r="F38" s="2" t="s">
        <v>178</v>
      </c>
      <c r="G38" s="2">
        <v>3.0</v>
      </c>
      <c r="H38" s="2" t="s">
        <v>179</v>
      </c>
      <c r="I38" s="2">
        <f t="shared" si="1"/>
        <v>6</v>
      </c>
      <c r="J38" s="13" t="s">
        <v>42</v>
      </c>
      <c r="L38" s="10"/>
    </row>
    <row r="39">
      <c r="A39" s="11" t="s">
        <v>180</v>
      </c>
      <c r="B39" s="12">
        <v>3304.7999999999997</v>
      </c>
      <c r="C39" s="13" t="s">
        <v>181</v>
      </c>
      <c r="D39" s="13" t="s">
        <v>25</v>
      </c>
      <c r="E39" s="13">
        <v>3.0</v>
      </c>
      <c r="F39" s="2" t="s">
        <v>182</v>
      </c>
      <c r="G39" s="2">
        <v>0.0</v>
      </c>
      <c r="H39" s="2" t="s">
        <v>54</v>
      </c>
      <c r="I39" s="2">
        <f t="shared" si="1"/>
        <v>3</v>
      </c>
      <c r="J39" s="13" t="s">
        <v>55</v>
      </c>
      <c r="L39" s="10"/>
    </row>
    <row r="40">
      <c r="A40" s="11" t="s">
        <v>183</v>
      </c>
      <c r="B40" s="12">
        <v>3975.2999999999997</v>
      </c>
      <c r="C40" s="13" t="s">
        <v>184</v>
      </c>
      <c r="D40" s="13" t="s">
        <v>25</v>
      </c>
      <c r="E40" s="13">
        <v>3.0</v>
      </c>
      <c r="F40" s="2" t="s">
        <v>185</v>
      </c>
      <c r="G40" s="2">
        <v>3.0</v>
      </c>
      <c r="H40" s="2" t="s">
        <v>186</v>
      </c>
      <c r="I40" s="2">
        <f t="shared" si="1"/>
        <v>6</v>
      </c>
      <c r="J40" s="13" t="s">
        <v>33</v>
      </c>
      <c r="L40" s="10"/>
    </row>
    <row r="41">
      <c r="A41" s="11" t="s">
        <v>187</v>
      </c>
      <c r="B41" s="12">
        <v>1634.1</v>
      </c>
      <c r="C41" s="13" t="s">
        <v>188</v>
      </c>
      <c r="D41" s="13" t="s">
        <v>25</v>
      </c>
      <c r="E41" s="13">
        <v>3.0</v>
      </c>
      <c r="F41" s="2" t="s">
        <v>189</v>
      </c>
      <c r="G41" s="2">
        <v>4.0</v>
      </c>
      <c r="H41" s="2" t="s">
        <v>190</v>
      </c>
      <c r="I41" s="2">
        <f t="shared" si="1"/>
        <v>7</v>
      </c>
      <c r="J41" s="13" t="s">
        <v>33</v>
      </c>
      <c r="L41" s="10"/>
    </row>
    <row r="42">
      <c r="A42" s="11" t="s">
        <v>191</v>
      </c>
      <c r="B42" s="12">
        <v>1824.3</v>
      </c>
      <c r="C42" s="13" t="s">
        <v>192</v>
      </c>
      <c r="D42" s="13" t="s">
        <v>25</v>
      </c>
      <c r="E42" s="13">
        <v>3.0</v>
      </c>
      <c r="F42" s="2" t="s">
        <v>193</v>
      </c>
      <c r="G42" s="2">
        <v>0.0</v>
      </c>
      <c r="H42" s="2" t="s">
        <v>194</v>
      </c>
      <c r="I42" s="2">
        <f t="shared" si="1"/>
        <v>3</v>
      </c>
      <c r="J42" s="13" t="s">
        <v>55</v>
      </c>
      <c r="L42" s="10"/>
    </row>
    <row r="43">
      <c r="A43" s="11" t="s">
        <v>195</v>
      </c>
      <c r="B43" s="12">
        <v>3347.4</v>
      </c>
      <c r="C43" s="13" t="s">
        <v>196</v>
      </c>
      <c r="D43" s="13" t="s">
        <v>25</v>
      </c>
      <c r="E43" s="13">
        <v>3.0</v>
      </c>
      <c r="F43" s="3"/>
      <c r="G43" s="2">
        <v>3.0</v>
      </c>
      <c r="H43" s="2" t="s">
        <v>197</v>
      </c>
      <c r="I43" s="2">
        <f t="shared" si="1"/>
        <v>6</v>
      </c>
      <c r="J43" s="13" t="s">
        <v>129</v>
      </c>
      <c r="L43" s="10"/>
    </row>
    <row r="44">
      <c r="A44" s="11" t="s">
        <v>198</v>
      </c>
      <c r="B44" s="12"/>
      <c r="C44" s="13" t="s">
        <v>199</v>
      </c>
      <c r="D44" s="13" t="s">
        <v>25</v>
      </c>
      <c r="E44" s="13">
        <v>3.0</v>
      </c>
      <c r="F44" s="2" t="s">
        <v>200</v>
      </c>
      <c r="G44" s="2">
        <v>1.0</v>
      </c>
      <c r="H44" s="2" t="s">
        <v>201</v>
      </c>
      <c r="I44" s="2">
        <f t="shared" si="1"/>
        <v>4</v>
      </c>
      <c r="J44" s="13" t="s">
        <v>28</v>
      </c>
      <c r="L44" s="10"/>
    </row>
    <row r="45">
      <c r="A45" s="11" t="s">
        <v>202</v>
      </c>
      <c r="B45" s="12"/>
      <c r="C45" s="13" t="s">
        <v>203</v>
      </c>
      <c r="D45" s="13" t="s">
        <v>25</v>
      </c>
      <c r="E45" s="13">
        <v>3.0</v>
      </c>
      <c r="F45" s="2"/>
      <c r="G45" s="2">
        <v>1.0</v>
      </c>
      <c r="H45" s="2" t="s">
        <v>204</v>
      </c>
      <c r="I45" s="2">
        <f t="shared" si="1"/>
        <v>4</v>
      </c>
      <c r="J45" s="13" t="s">
        <v>28</v>
      </c>
      <c r="L45" s="10"/>
    </row>
    <row r="46">
      <c r="A46" s="11" t="s">
        <v>205</v>
      </c>
      <c r="B46" s="12"/>
      <c r="C46" s="13" t="s">
        <v>206</v>
      </c>
      <c r="D46" s="13" t="s">
        <v>25</v>
      </c>
      <c r="E46" s="13">
        <v>3.0</v>
      </c>
      <c r="F46" s="2" t="s">
        <v>207</v>
      </c>
      <c r="G46" s="2">
        <v>3.0</v>
      </c>
      <c r="H46" s="2" t="s">
        <v>208</v>
      </c>
      <c r="I46" s="2">
        <f t="shared" si="1"/>
        <v>6</v>
      </c>
      <c r="J46" s="13" t="s">
        <v>42</v>
      </c>
      <c r="L46" s="10"/>
    </row>
    <row r="47">
      <c r="A47" s="11" t="s">
        <v>209</v>
      </c>
      <c r="B47" s="12"/>
      <c r="C47" s="13" t="s">
        <v>210</v>
      </c>
      <c r="D47" s="13" t="s">
        <v>25</v>
      </c>
      <c r="E47" s="13">
        <v>3.0</v>
      </c>
      <c r="F47" s="2" t="s">
        <v>211</v>
      </c>
      <c r="G47" s="2">
        <v>1.0</v>
      </c>
      <c r="H47" s="2" t="s">
        <v>212</v>
      </c>
      <c r="I47" s="2">
        <f t="shared" si="1"/>
        <v>4</v>
      </c>
      <c r="J47" s="13" t="s">
        <v>28</v>
      </c>
      <c r="L47" s="10"/>
    </row>
    <row r="48">
      <c r="A48" s="11" t="s">
        <v>213</v>
      </c>
      <c r="B48" s="12">
        <v>3405.6</v>
      </c>
      <c r="C48" s="13" t="s">
        <v>214</v>
      </c>
      <c r="D48" s="13" t="s">
        <v>25</v>
      </c>
      <c r="E48" s="13">
        <v>3.0</v>
      </c>
      <c r="F48" s="2" t="s">
        <v>215</v>
      </c>
      <c r="G48" s="2">
        <v>4.0</v>
      </c>
      <c r="H48" s="2" t="s">
        <v>216</v>
      </c>
      <c r="I48" s="2">
        <f t="shared" si="1"/>
        <v>7</v>
      </c>
      <c r="J48" s="13" t="s">
        <v>33</v>
      </c>
      <c r="L48" s="10"/>
    </row>
    <row r="49">
      <c r="A49" s="11" t="s">
        <v>217</v>
      </c>
      <c r="B49" s="12">
        <v>2995.7999999999997</v>
      </c>
      <c r="C49" s="13" t="s">
        <v>218</v>
      </c>
      <c r="D49" s="13" t="s">
        <v>25</v>
      </c>
      <c r="E49" s="18">
        <v>3.0</v>
      </c>
      <c r="F49" s="2" t="s">
        <v>219</v>
      </c>
      <c r="G49" s="13">
        <v>1.0</v>
      </c>
      <c r="H49" s="19" t="s">
        <v>220</v>
      </c>
      <c r="I49" s="2">
        <f t="shared" si="1"/>
        <v>4</v>
      </c>
      <c r="J49" s="13" t="s">
        <v>42</v>
      </c>
      <c r="L49" s="1"/>
    </row>
    <row r="50">
      <c r="A50" s="15" t="s">
        <v>221</v>
      </c>
      <c r="B50" s="16"/>
      <c r="C50" s="13" t="s">
        <v>222</v>
      </c>
      <c r="D50" s="13" t="s">
        <v>25</v>
      </c>
      <c r="E50" s="13">
        <v>3.0</v>
      </c>
      <c r="F50" s="2" t="s">
        <v>223</v>
      </c>
      <c r="G50" s="2">
        <v>1.0</v>
      </c>
      <c r="H50" s="2" t="s">
        <v>224</v>
      </c>
      <c r="I50" s="2">
        <f t="shared" si="1"/>
        <v>4</v>
      </c>
      <c r="J50" s="13" t="s">
        <v>55</v>
      </c>
      <c r="L50" s="8" t="s">
        <v>225</v>
      </c>
      <c r="M50" s="17">
        <f>COUNTIF(J34:J96, "N")</f>
        <v>1</v>
      </c>
    </row>
    <row r="51">
      <c r="A51" s="15" t="s">
        <v>226</v>
      </c>
      <c r="B51" s="16"/>
      <c r="C51" s="13" t="s">
        <v>227</v>
      </c>
      <c r="D51" s="13" t="s">
        <v>25</v>
      </c>
      <c r="E51" s="13">
        <v>3.0</v>
      </c>
      <c r="F51" s="2" t="s">
        <v>228</v>
      </c>
      <c r="G51" s="2">
        <v>1.0</v>
      </c>
      <c r="H51" s="2" t="s">
        <v>229</v>
      </c>
      <c r="I51" s="2">
        <f t="shared" si="1"/>
        <v>4</v>
      </c>
      <c r="J51" s="13" t="s">
        <v>25</v>
      </c>
      <c r="L51" s="10"/>
    </row>
    <row r="52">
      <c r="A52" s="15" t="s">
        <v>230</v>
      </c>
      <c r="B52" s="16"/>
      <c r="C52" s="13" t="s">
        <v>231</v>
      </c>
      <c r="D52" s="13" t="s">
        <v>25</v>
      </c>
      <c r="E52" s="13">
        <v>3.0</v>
      </c>
      <c r="F52" s="2" t="s">
        <v>232</v>
      </c>
      <c r="G52" s="2">
        <v>5.0</v>
      </c>
      <c r="H52" s="2" t="s">
        <v>233</v>
      </c>
      <c r="I52" s="2">
        <f t="shared" si="1"/>
        <v>8</v>
      </c>
      <c r="J52" s="13" t="s">
        <v>33</v>
      </c>
      <c r="L52" s="10"/>
    </row>
    <row r="53">
      <c r="A53" s="15" t="s">
        <v>234</v>
      </c>
      <c r="B53" s="16"/>
      <c r="C53" s="13" t="s">
        <v>235</v>
      </c>
      <c r="D53" s="13" t="s">
        <v>25</v>
      </c>
      <c r="E53" s="13">
        <v>3.0</v>
      </c>
      <c r="F53" s="2" t="s">
        <v>236</v>
      </c>
      <c r="G53" s="2">
        <v>1.0</v>
      </c>
      <c r="H53" s="2" t="s">
        <v>237</v>
      </c>
      <c r="I53" s="2">
        <f t="shared" si="1"/>
        <v>4</v>
      </c>
      <c r="J53" s="13" t="s">
        <v>25</v>
      </c>
      <c r="L53" s="10"/>
    </row>
    <row r="54">
      <c r="A54" s="11" t="s">
        <v>238</v>
      </c>
      <c r="B54" s="12">
        <v>3419.7</v>
      </c>
      <c r="C54" s="13" t="s">
        <v>239</v>
      </c>
      <c r="D54" s="13" t="s">
        <v>25</v>
      </c>
      <c r="E54" s="13">
        <v>2.5</v>
      </c>
      <c r="F54" s="2" t="s">
        <v>240</v>
      </c>
      <c r="G54" s="2">
        <v>4.0</v>
      </c>
      <c r="H54" s="2" t="s">
        <v>241</v>
      </c>
      <c r="I54" s="2">
        <f t="shared" si="1"/>
        <v>6.5</v>
      </c>
      <c r="J54" s="13" t="s">
        <v>33</v>
      </c>
      <c r="L54" s="10"/>
    </row>
    <row r="55">
      <c r="A55" s="13" t="s">
        <v>242</v>
      </c>
      <c r="B55" s="20">
        <v>2387.4</v>
      </c>
      <c r="C55" s="13" t="s">
        <v>243</v>
      </c>
      <c r="D55" s="13" t="s">
        <v>25</v>
      </c>
      <c r="E55" s="13">
        <v>2.0</v>
      </c>
      <c r="F55" s="2" t="s">
        <v>244</v>
      </c>
      <c r="G55" s="2">
        <v>1.0</v>
      </c>
      <c r="H55" s="2" t="s">
        <v>245</v>
      </c>
      <c r="I55" s="2">
        <f t="shared" si="1"/>
        <v>3</v>
      </c>
      <c r="J55" s="13" t="s">
        <v>28</v>
      </c>
      <c r="L55" s="8"/>
    </row>
    <row r="56">
      <c r="A56" s="13" t="s">
        <v>246</v>
      </c>
      <c r="B56" s="20">
        <v>3723.0</v>
      </c>
      <c r="C56" s="13" t="s">
        <v>247</v>
      </c>
      <c r="D56" s="13" t="s">
        <v>25</v>
      </c>
      <c r="E56" s="13">
        <v>2.0</v>
      </c>
      <c r="F56" s="2"/>
      <c r="G56" s="2">
        <v>0.0</v>
      </c>
      <c r="H56" s="2" t="s">
        <v>54</v>
      </c>
      <c r="I56" s="2">
        <f t="shared" si="1"/>
        <v>2</v>
      </c>
      <c r="J56" s="13" t="s">
        <v>55</v>
      </c>
      <c r="L56" s="10"/>
    </row>
    <row r="57">
      <c r="A57" s="13" t="s">
        <v>248</v>
      </c>
      <c r="B57" s="20">
        <v>4347.599999999999</v>
      </c>
      <c r="C57" s="13" t="s">
        <v>249</v>
      </c>
      <c r="D57" s="13" t="s">
        <v>25</v>
      </c>
      <c r="E57" s="13">
        <v>2.0</v>
      </c>
      <c r="F57" s="2" t="s">
        <v>250</v>
      </c>
      <c r="G57" s="2">
        <v>2.0</v>
      </c>
      <c r="H57" s="2" t="s">
        <v>251</v>
      </c>
      <c r="I57" s="2">
        <f t="shared" si="1"/>
        <v>4</v>
      </c>
      <c r="J57" s="13" t="s">
        <v>33</v>
      </c>
      <c r="L57" s="10"/>
    </row>
    <row r="58">
      <c r="A58" s="13" t="s">
        <v>252</v>
      </c>
      <c r="B58" s="20">
        <v>1401.3</v>
      </c>
      <c r="C58" s="13" t="s">
        <v>253</v>
      </c>
      <c r="D58" s="13" t="s">
        <v>25</v>
      </c>
      <c r="E58" s="13">
        <v>2.0</v>
      </c>
      <c r="F58" s="2" t="s">
        <v>254</v>
      </c>
      <c r="G58" s="2">
        <v>1.0</v>
      </c>
      <c r="H58" s="2" t="s">
        <v>255</v>
      </c>
      <c r="I58" s="2">
        <f t="shared" si="1"/>
        <v>3</v>
      </c>
      <c r="J58" s="13" t="s">
        <v>42</v>
      </c>
      <c r="L58" s="10"/>
    </row>
    <row r="59">
      <c r="A59" s="13" t="s">
        <v>256</v>
      </c>
      <c r="B59" s="20">
        <v>4245.3</v>
      </c>
      <c r="C59" s="13" t="s">
        <v>257</v>
      </c>
      <c r="D59" s="13" t="s">
        <v>25</v>
      </c>
      <c r="E59" s="13">
        <v>2.0</v>
      </c>
      <c r="F59" s="2" t="s">
        <v>258</v>
      </c>
      <c r="G59" s="2">
        <v>1.0</v>
      </c>
      <c r="H59" s="2" t="s">
        <v>259</v>
      </c>
      <c r="I59" s="2">
        <f t="shared" si="1"/>
        <v>3</v>
      </c>
      <c r="J59" s="13" t="s">
        <v>28</v>
      </c>
      <c r="L59" s="10"/>
    </row>
    <row r="60">
      <c r="A60" s="13" t="s">
        <v>260</v>
      </c>
      <c r="B60" s="20">
        <v>4206.599999999999</v>
      </c>
      <c r="C60" s="13" t="s">
        <v>261</v>
      </c>
      <c r="D60" s="13" t="s">
        <v>25</v>
      </c>
      <c r="E60" s="13">
        <v>2.0</v>
      </c>
      <c r="F60" s="2" t="s">
        <v>262</v>
      </c>
      <c r="G60" s="2">
        <v>1.0</v>
      </c>
      <c r="H60" s="2" t="s">
        <v>263</v>
      </c>
      <c r="I60" s="2">
        <f t="shared" si="1"/>
        <v>3</v>
      </c>
      <c r="J60" s="13" t="s">
        <v>42</v>
      </c>
      <c r="L60" s="10"/>
    </row>
    <row r="61">
      <c r="A61" s="13" t="s">
        <v>264</v>
      </c>
      <c r="B61" s="20">
        <v>2727.2999999999997</v>
      </c>
      <c r="C61" s="13" t="s">
        <v>265</v>
      </c>
      <c r="D61" s="13" t="s">
        <v>25</v>
      </c>
      <c r="E61" s="14">
        <v>2.0</v>
      </c>
      <c r="F61" s="2" t="s">
        <v>266</v>
      </c>
      <c r="G61" s="13">
        <v>3.0</v>
      </c>
      <c r="H61" s="2" t="s">
        <v>267</v>
      </c>
      <c r="I61" s="2">
        <f t="shared" si="1"/>
        <v>5</v>
      </c>
      <c r="J61" s="13" t="s">
        <v>33</v>
      </c>
      <c r="L61" s="10"/>
    </row>
    <row r="62">
      <c r="A62" s="2" t="s">
        <v>268</v>
      </c>
      <c r="B62" s="21"/>
      <c r="C62" s="13" t="s">
        <v>261</v>
      </c>
      <c r="D62" s="13" t="s">
        <v>25</v>
      </c>
      <c r="E62" s="13">
        <v>2.0</v>
      </c>
      <c r="F62" s="2" t="s">
        <v>269</v>
      </c>
      <c r="G62" s="2">
        <v>2.0</v>
      </c>
      <c r="H62" s="2" t="s">
        <v>270</v>
      </c>
      <c r="I62" s="2">
        <f t="shared" si="1"/>
        <v>4</v>
      </c>
      <c r="J62" s="13" t="s">
        <v>33</v>
      </c>
      <c r="L62" s="10"/>
    </row>
    <row r="63">
      <c r="A63" s="2" t="s">
        <v>271</v>
      </c>
      <c r="B63" s="21">
        <f>((sum(B59:B60)/2 +(0.2*sum(B59))))</f>
        <v>5075.01</v>
      </c>
      <c r="C63" s="13" t="s">
        <v>272</v>
      </c>
      <c r="D63" s="13" t="s">
        <v>25</v>
      </c>
      <c r="E63" s="13">
        <v>2.0</v>
      </c>
      <c r="F63" s="2" t="s">
        <v>273</v>
      </c>
      <c r="G63" s="2">
        <v>3.0</v>
      </c>
      <c r="H63" s="2" t="s">
        <v>274</v>
      </c>
      <c r="I63" s="2">
        <f t="shared" si="1"/>
        <v>5</v>
      </c>
      <c r="J63" s="13" t="s">
        <v>33</v>
      </c>
      <c r="L63" s="8" t="s">
        <v>275</v>
      </c>
      <c r="M63" s="17">
        <f>COUNTIF(J58:J109, "Y")</f>
        <v>0</v>
      </c>
    </row>
    <row r="64">
      <c r="A64" s="13" t="s">
        <v>276</v>
      </c>
      <c r="B64" s="20">
        <v>4460.7</v>
      </c>
      <c r="C64" s="13" t="s">
        <v>277</v>
      </c>
      <c r="D64" s="13" t="s">
        <v>25</v>
      </c>
      <c r="E64" s="13">
        <v>1.0</v>
      </c>
      <c r="F64" s="2" t="s">
        <v>278</v>
      </c>
      <c r="G64" s="2">
        <v>3.0</v>
      </c>
      <c r="H64" s="2" t="s">
        <v>279</v>
      </c>
      <c r="I64" s="2">
        <f t="shared" si="1"/>
        <v>4</v>
      </c>
      <c r="J64" s="13" t="s">
        <v>33</v>
      </c>
      <c r="L64" s="10"/>
    </row>
    <row r="65">
      <c r="A65" s="13" t="s">
        <v>280</v>
      </c>
      <c r="B65" s="20"/>
      <c r="C65" s="13" t="s">
        <v>281</v>
      </c>
      <c r="D65" s="13" t="s">
        <v>25</v>
      </c>
      <c r="E65" s="13"/>
      <c r="F65" s="2"/>
      <c r="G65" s="2"/>
      <c r="H65" s="2" t="s">
        <v>282</v>
      </c>
      <c r="I65" s="2">
        <f t="shared" si="1"/>
        <v>0</v>
      </c>
      <c r="J65" s="13" t="s">
        <v>42</v>
      </c>
      <c r="L65" s="10"/>
    </row>
    <row r="66">
      <c r="A66" s="13"/>
      <c r="B66" s="20"/>
      <c r="C66" s="13"/>
      <c r="D66" s="13"/>
      <c r="E66" s="14"/>
      <c r="F66" s="2"/>
      <c r="G66" s="2"/>
      <c r="H66" s="2"/>
      <c r="I66" s="2"/>
      <c r="J66" s="13"/>
      <c r="L66" s="10"/>
    </row>
    <row r="67">
      <c r="B67" s="21"/>
      <c r="F67" s="3"/>
      <c r="G67" s="3"/>
      <c r="H67" s="3"/>
      <c r="I67" s="2"/>
      <c r="L67" s="10"/>
    </row>
    <row r="68">
      <c r="A68" s="5" t="s">
        <v>283</v>
      </c>
      <c r="B68" s="6">
        <f>average(B15:B66)</f>
        <v>3182.003056</v>
      </c>
      <c r="F68" s="3"/>
      <c r="G68" s="3"/>
      <c r="H68" s="3"/>
      <c r="I68" s="2"/>
      <c r="L68" s="10"/>
    </row>
    <row r="69">
      <c r="A69" s="11"/>
      <c r="B69" s="16"/>
      <c r="F69" s="3"/>
      <c r="G69" s="3"/>
      <c r="H69" s="3"/>
      <c r="I69" s="2"/>
      <c r="L69" s="10"/>
    </row>
    <row r="70">
      <c r="A70" s="11" t="s">
        <v>54</v>
      </c>
      <c r="B70" s="16"/>
      <c r="C70" s="17">
        <f>countif(J15:J65, "P")</f>
        <v>5</v>
      </c>
      <c r="F70" s="3"/>
      <c r="G70" s="3"/>
      <c r="H70" s="3"/>
      <c r="I70" s="2"/>
      <c r="L70" s="10"/>
    </row>
    <row r="71">
      <c r="A71" s="11" t="s">
        <v>155</v>
      </c>
      <c r="B71" s="16"/>
      <c r="C71" s="17">
        <f>countif(J15:J65, "E")</f>
        <v>20</v>
      </c>
      <c r="F71" s="3"/>
      <c r="G71" s="3"/>
      <c r="H71" s="3"/>
      <c r="I71" s="2"/>
      <c r="L71" s="10"/>
    </row>
    <row r="72">
      <c r="A72" s="11" t="s">
        <v>275</v>
      </c>
      <c r="B72" s="16"/>
      <c r="C72" s="17">
        <f>countif(J15:J65, "FP")</f>
        <v>7</v>
      </c>
      <c r="F72" s="3"/>
      <c r="G72" s="3"/>
      <c r="H72" s="3"/>
      <c r="I72" s="2"/>
      <c r="L72" s="10"/>
    </row>
    <row r="73">
      <c r="A73" s="11" t="s">
        <v>225</v>
      </c>
      <c r="B73" s="16"/>
      <c r="C73" s="17">
        <f>countif(J15:J66, "FE")</f>
        <v>2</v>
      </c>
      <c r="F73" s="3"/>
      <c r="G73" s="3"/>
      <c r="H73" s="3"/>
      <c r="I73" s="2"/>
      <c r="L73" s="10"/>
    </row>
    <row r="74">
      <c r="A74" s="11" t="s">
        <v>284</v>
      </c>
      <c r="B74" s="16"/>
      <c r="C74" s="17">
        <f>countif(J15:J65, "U")</f>
        <v>14</v>
      </c>
      <c r="F74" s="3"/>
      <c r="G74" s="3"/>
      <c r="H74" s="3"/>
      <c r="I74" s="2"/>
      <c r="L74" s="10"/>
    </row>
    <row r="75">
      <c r="A75" s="22"/>
      <c r="B75" s="16"/>
      <c r="F75" s="3"/>
      <c r="G75" s="3"/>
      <c r="H75" s="3"/>
      <c r="I75" s="2"/>
      <c r="L75" s="10"/>
    </row>
    <row r="76">
      <c r="A76" s="23" t="s">
        <v>285</v>
      </c>
      <c r="B76" s="24"/>
      <c r="C76" s="3">
        <f>sum(C71+C73+C74)</f>
        <v>36</v>
      </c>
      <c r="D76" s="3"/>
      <c r="E76" s="3"/>
      <c r="F76" s="3"/>
      <c r="G76" s="3"/>
      <c r="H76" s="3"/>
      <c r="I76" s="2"/>
      <c r="J76" s="3"/>
      <c r="K76" s="3"/>
      <c r="L76" s="10"/>
      <c r="M76" s="3"/>
      <c r="N76" s="3"/>
      <c r="O76" s="3"/>
      <c r="P76" s="3"/>
      <c r="Q76" s="3"/>
      <c r="R76" s="3"/>
      <c r="S76" s="3"/>
      <c r="T76" s="3"/>
      <c r="U76" s="3"/>
      <c r="V76" s="3"/>
      <c r="W76" s="3"/>
      <c r="X76" s="3"/>
      <c r="Y76" s="3"/>
      <c r="Z76" s="3"/>
      <c r="AA76" s="3"/>
      <c r="AB76" s="3"/>
    </row>
    <row r="77">
      <c r="A77" s="23" t="s">
        <v>286</v>
      </c>
      <c r="B77" s="16"/>
      <c r="C77" s="17">
        <f>sum(C70+C72)</f>
        <v>12</v>
      </c>
      <c r="F77" s="3"/>
      <c r="G77" s="3"/>
      <c r="H77" s="3"/>
      <c r="I77" s="2"/>
      <c r="L77" s="10"/>
    </row>
    <row r="78">
      <c r="A78" s="25"/>
      <c r="B78" s="16"/>
      <c r="F78" s="3"/>
      <c r="G78" s="3"/>
      <c r="H78" s="3"/>
      <c r="I78" s="2"/>
      <c r="L78" s="10"/>
    </row>
    <row r="79">
      <c r="A79" s="26" t="s">
        <v>287</v>
      </c>
      <c r="B79" s="16"/>
      <c r="C79" s="13" t="s">
        <v>155</v>
      </c>
      <c r="F79" s="3"/>
      <c r="G79" s="3"/>
      <c r="H79" s="3"/>
      <c r="I79" s="2"/>
      <c r="L79" s="10"/>
    </row>
    <row r="80">
      <c r="A80" s="27"/>
      <c r="B80" s="16"/>
      <c r="F80" s="3"/>
      <c r="G80" s="3"/>
      <c r="H80" s="3"/>
      <c r="I80" s="2"/>
      <c r="L80" s="10"/>
    </row>
    <row r="81">
      <c r="A81" s="28" t="s">
        <v>288</v>
      </c>
      <c r="B81" s="21"/>
      <c r="F81" s="3"/>
      <c r="G81" s="3"/>
      <c r="H81" s="3"/>
      <c r="I81" s="2"/>
      <c r="L81" s="10"/>
    </row>
    <row r="82">
      <c r="A82" s="22"/>
      <c r="B82" s="16"/>
      <c r="F82" s="3"/>
      <c r="G82" s="3"/>
      <c r="H82" s="3"/>
      <c r="I82" s="2"/>
      <c r="L82" s="10"/>
    </row>
    <row r="83">
      <c r="A83" s="13" t="s">
        <v>289</v>
      </c>
      <c r="B83" s="20">
        <v>7212.599999999999</v>
      </c>
      <c r="C83" s="13" t="s">
        <v>290</v>
      </c>
      <c r="D83" s="13" t="s">
        <v>291</v>
      </c>
      <c r="F83" s="3"/>
      <c r="G83" s="3"/>
      <c r="H83" s="3"/>
      <c r="I83" s="2"/>
      <c r="J83" s="13" t="s">
        <v>55</v>
      </c>
      <c r="L83" s="10"/>
    </row>
    <row r="84">
      <c r="A84" s="13" t="s">
        <v>292</v>
      </c>
      <c r="B84" s="20">
        <v>8165.099999999999</v>
      </c>
      <c r="C84" s="13" t="s">
        <v>293</v>
      </c>
      <c r="D84" s="13" t="s">
        <v>291</v>
      </c>
      <c r="F84" s="3"/>
      <c r="G84" s="3"/>
      <c r="H84" s="3"/>
      <c r="I84" s="2"/>
      <c r="J84" s="13" t="s">
        <v>33</v>
      </c>
      <c r="L84" s="10"/>
    </row>
    <row r="85">
      <c r="A85" s="13" t="s">
        <v>294</v>
      </c>
      <c r="B85" s="20">
        <v>5149.2</v>
      </c>
      <c r="C85" s="13" t="s">
        <v>295</v>
      </c>
      <c r="D85" s="13" t="s">
        <v>291</v>
      </c>
      <c r="F85" s="3"/>
      <c r="G85" s="3"/>
      <c r="H85" s="3"/>
      <c r="I85" s="2"/>
      <c r="J85" s="13" t="s">
        <v>33</v>
      </c>
      <c r="L85" s="10"/>
    </row>
    <row r="86">
      <c r="A86" s="13" t="s">
        <v>296</v>
      </c>
      <c r="B86" s="20">
        <v>5694.0</v>
      </c>
      <c r="C86" s="13" t="s">
        <v>297</v>
      </c>
      <c r="D86" s="13" t="s">
        <v>291</v>
      </c>
      <c r="F86" s="3"/>
      <c r="G86" s="3"/>
      <c r="H86" s="3"/>
      <c r="I86" s="2"/>
      <c r="J86" s="13" t="s">
        <v>291</v>
      </c>
      <c r="L86" s="10"/>
    </row>
    <row r="87">
      <c r="A87" s="13" t="s">
        <v>298</v>
      </c>
      <c r="B87" s="20">
        <v>4153.2</v>
      </c>
      <c r="C87" s="13" t="s">
        <v>299</v>
      </c>
      <c r="D87" s="13" t="s">
        <v>291</v>
      </c>
      <c r="F87" s="3"/>
      <c r="G87" s="3"/>
      <c r="H87" s="3"/>
      <c r="I87" s="2"/>
      <c r="J87" s="13" t="s">
        <v>33</v>
      </c>
      <c r="L87" s="10"/>
    </row>
    <row r="88">
      <c r="A88" s="13" t="s">
        <v>300</v>
      </c>
      <c r="B88" s="20">
        <v>6292.2</v>
      </c>
      <c r="C88" s="13" t="s">
        <v>301</v>
      </c>
      <c r="D88" s="13" t="s">
        <v>291</v>
      </c>
      <c r="F88" s="3"/>
      <c r="G88" s="3"/>
      <c r="H88" s="3"/>
      <c r="I88" s="2"/>
      <c r="J88" s="13" t="s">
        <v>33</v>
      </c>
      <c r="L88" s="10"/>
    </row>
    <row r="89">
      <c r="A89" s="13" t="s">
        <v>302</v>
      </c>
      <c r="B89" s="20">
        <v>5215.2</v>
      </c>
      <c r="C89" s="13" t="s">
        <v>303</v>
      </c>
      <c r="D89" s="13" t="s">
        <v>291</v>
      </c>
      <c r="F89" s="3"/>
      <c r="G89" s="3"/>
      <c r="H89" s="3"/>
      <c r="I89" s="2"/>
      <c r="J89" s="13" t="s">
        <v>33</v>
      </c>
      <c r="L89" s="10"/>
    </row>
    <row r="90">
      <c r="A90" s="13" t="s">
        <v>304</v>
      </c>
      <c r="B90" s="20">
        <v>7699.2</v>
      </c>
      <c r="C90" s="13" t="s">
        <v>305</v>
      </c>
      <c r="D90" s="13" t="s">
        <v>291</v>
      </c>
      <c r="F90" s="3"/>
      <c r="G90" s="3"/>
      <c r="H90" s="3"/>
      <c r="I90" s="2"/>
      <c r="J90" s="13" t="s">
        <v>33</v>
      </c>
      <c r="L90" s="10"/>
    </row>
    <row r="91">
      <c r="A91" s="13" t="s">
        <v>306</v>
      </c>
      <c r="B91" s="20">
        <v>6031.2</v>
      </c>
      <c r="C91" s="13" t="s">
        <v>307</v>
      </c>
      <c r="D91" s="13" t="s">
        <v>291</v>
      </c>
      <c r="F91" s="3"/>
      <c r="G91" s="3"/>
      <c r="H91" s="3"/>
      <c r="I91" s="2"/>
      <c r="J91" s="13" t="s">
        <v>33</v>
      </c>
      <c r="L91" s="10"/>
    </row>
    <row r="92">
      <c r="A92" s="13" t="s">
        <v>308</v>
      </c>
      <c r="B92" s="20">
        <v>3699.0</v>
      </c>
      <c r="C92" s="13" t="s">
        <v>309</v>
      </c>
      <c r="D92" s="13" t="s">
        <v>291</v>
      </c>
      <c r="F92" s="3"/>
      <c r="G92" s="3"/>
      <c r="H92" s="3"/>
      <c r="I92" s="2"/>
      <c r="J92" s="13" t="s">
        <v>33</v>
      </c>
      <c r="L92" s="10"/>
    </row>
    <row r="93">
      <c r="A93" s="13" t="s">
        <v>310</v>
      </c>
      <c r="B93" s="20">
        <v>2638.2</v>
      </c>
      <c r="C93" s="13" t="s">
        <v>311</v>
      </c>
      <c r="D93" s="13" t="s">
        <v>291</v>
      </c>
      <c r="F93" s="3"/>
      <c r="G93" s="3"/>
      <c r="H93" s="3"/>
      <c r="I93" s="2"/>
      <c r="J93" s="13" t="s">
        <v>55</v>
      </c>
      <c r="L93" s="10"/>
    </row>
    <row r="94">
      <c r="A94" s="13" t="s">
        <v>312</v>
      </c>
      <c r="B94" s="20">
        <v>4510.5</v>
      </c>
      <c r="C94" s="13" t="s">
        <v>313</v>
      </c>
      <c r="D94" s="13" t="s">
        <v>291</v>
      </c>
      <c r="F94" s="3"/>
      <c r="G94" s="3"/>
      <c r="H94" s="3"/>
      <c r="I94" s="2"/>
      <c r="J94" s="13" t="s">
        <v>55</v>
      </c>
      <c r="L94" s="10"/>
    </row>
    <row r="95">
      <c r="A95" s="1" t="s">
        <v>15</v>
      </c>
      <c r="B95" s="29" t="s">
        <v>0</v>
      </c>
      <c r="F95" s="3"/>
      <c r="G95" s="3"/>
      <c r="H95" s="3"/>
      <c r="I95" s="2"/>
      <c r="L95" s="10"/>
    </row>
    <row r="96">
      <c r="B96" s="21"/>
      <c r="F96" s="3"/>
      <c r="G96" s="3"/>
      <c r="H96" s="3"/>
      <c r="I96" s="3"/>
      <c r="L96" s="10"/>
    </row>
    <row r="97">
      <c r="B97" s="21"/>
      <c r="F97" s="3"/>
      <c r="G97" s="3"/>
      <c r="H97" s="3"/>
      <c r="I97" s="3"/>
      <c r="L97" s="10"/>
    </row>
    <row r="98">
      <c r="B98" s="21"/>
      <c r="F98" s="3"/>
      <c r="G98" s="3"/>
      <c r="H98" s="3"/>
      <c r="I98" s="3"/>
      <c r="L98" s="10"/>
    </row>
    <row r="99">
      <c r="B99" s="21"/>
      <c r="F99" s="3"/>
      <c r="G99" s="3"/>
      <c r="H99" s="3"/>
      <c r="I99" s="3"/>
      <c r="L99" s="10"/>
    </row>
    <row r="100">
      <c r="B100" s="21"/>
      <c r="F100" s="3"/>
      <c r="G100" s="3"/>
      <c r="H100" s="3"/>
      <c r="I100" s="3"/>
      <c r="L100" s="10"/>
    </row>
    <row r="101">
      <c r="B101" s="21"/>
      <c r="F101" s="3"/>
      <c r="G101" s="3"/>
      <c r="H101" s="3"/>
      <c r="I101" s="3"/>
      <c r="L101" s="10"/>
    </row>
    <row r="102">
      <c r="B102" s="21"/>
      <c r="F102" s="3"/>
      <c r="G102" s="3"/>
      <c r="H102" s="3"/>
      <c r="I102" s="3"/>
      <c r="L102" s="10"/>
    </row>
    <row r="103">
      <c r="B103" s="21"/>
      <c r="F103" s="3"/>
      <c r="G103" s="3"/>
      <c r="H103" s="3"/>
      <c r="I103" s="3"/>
      <c r="L103" s="10"/>
    </row>
    <row r="104">
      <c r="B104" s="21"/>
      <c r="F104" s="3"/>
      <c r="G104" s="3"/>
      <c r="H104" s="3"/>
      <c r="I104" s="3"/>
      <c r="L104" s="10"/>
    </row>
    <row r="105">
      <c r="B105" s="21"/>
      <c r="F105" s="3"/>
      <c r="G105" s="3"/>
      <c r="H105" s="3"/>
      <c r="I105" s="3"/>
      <c r="L105" s="10"/>
    </row>
    <row r="106">
      <c r="B106" s="21"/>
      <c r="F106" s="3"/>
      <c r="G106" s="3"/>
      <c r="H106" s="3"/>
      <c r="I106" s="3"/>
      <c r="L106" s="10"/>
    </row>
    <row r="107">
      <c r="B107" s="21"/>
      <c r="F107" s="3"/>
      <c r="G107" s="3"/>
      <c r="H107" s="3"/>
      <c r="I107" s="3"/>
      <c r="L107" s="10"/>
    </row>
    <row r="108">
      <c r="B108" s="21"/>
      <c r="F108" s="3"/>
      <c r="G108" s="3"/>
      <c r="H108" s="3"/>
      <c r="I108" s="3"/>
      <c r="L108" s="10"/>
    </row>
    <row r="109">
      <c r="B109" s="21"/>
      <c r="F109" s="3"/>
      <c r="G109" s="3"/>
      <c r="H109" s="3"/>
      <c r="I109" s="3"/>
      <c r="L109" s="10"/>
    </row>
    <row r="110">
      <c r="B110" s="21"/>
      <c r="F110" s="3"/>
      <c r="G110" s="3"/>
      <c r="H110" s="3"/>
      <c r="I110" s="3"/>
      <c r="L110" s="10"/>
    </row>
    <row r="111">
      <c r="B111" s="21"/>
      <c r="F111" s="3"/>
      <c r="G111" s="3"/>
      <c r="H111" s="3"/>
      <c r="I111" s="3"/>
      <c r="L111" s="10"/>
    </row>
    <row r="112">
      <c r="B112" s="21"/>
      <c r="F112" s="3"/>
      <c r="G112" s="3"/>
      <c r="H112" s="3"/>
      <c r="I112" s="3"/>
      <c r="L112" s="10"/>
    </row>
    <row r="113">
      <c r="B113" s="21"/>
      <c r="F113" s="3"/>
      <c r="G113" s="3"/>
      <c r="H113" s="3"/>
      <c r="I113" s="3"/>
      <c r="L113" s="10"/>
    </row>
    <row r="114">
      <c r="B114" s="21"/>
      <c r="F114" s="3"/>
      <c r="G114" s="3"/>
      <c r="H114" s="3"/>
      <c r="I114" s="3"/>
      <c r="L114" s="10"/>
    </row>
    <row r="115">
      <c r="B115" s="21"/>
      <c r="F115" s="3"/>
      <c r="G115" s="3"/>
      <c r="H115" s="3"/>
      <c r="I115" s="3"/>
      <c r="L115" s="10"/>
    </row>
    <row r="116">
      <c r="B116" s="21"/>
      <c r="F116" s="3"/>
      <c r="G116" s="3"/>
      <c r="H116" s="3"/>
      <c r="I116" s="3"/>
      <c r="L116" s="10"/>
    </row>
    <row r="117">
      <c r="B117" s="21"/>
      <c r="F117" s="3"/>
      <c r="G117" s="3"/>
      <c r="H117" s="3"/>
      <c r="I117" s="3"/>
      <c r="L117" s="10"/>
    </row>
    <row r="118">
      <c r="B118" s="21"/>
      <c r="F118" s="3"/>
      <c r="G118" s="3"/>
      <c r="H118" s="3"/>
      <c r="I118" s="3"/>
      <c r="L118" s="10"/>
    </row>
    <row r="119">
      <c r="B119" s="21"/>
      <c r="F119" s="3"/>
      <c r="G119" s="3"/>
      <c r="H119" s="3"/>
      <c r="I119" s="3"/>
      <c r="L119" s="10"/>
    </row>
    <row r="120">
      <c r="B120" s="21"/>
      <c r="F120" s="3"/>
      <c r="G120" s="3"/>
      <c r="H120" s="3"/>
      <c r="I120" s="3"/>
      <c r="L120" s="10"/>
    </row>
    <row r="121">
      <c r="B121" s="21"/>
      <c r="F121" s="3"/>
      <c r="G121" s="3"/>
      <c r="H121" s="3"/>
      <c r="I121" s="3"/>
      <c r="L121" s="10"/>
    </row>
    <row r="122">
      <c r="B122" s="21"/>
      <c r="F122" s="3"/>
      <c r="G122" s="3"/>
      <c r="H122" s="3"/>
      <c r="I122" s="3"/>
      <c r="L122" s="10"/>
    </row>
    <row r="123">
      <c r="B123" s="21"/>
      <c r="F123" s="3"/>
      <c r="G123" s="3"/>
      <c r="H123" s="3"/>
      <c r="I123" s="3"/>
      <c r="L123" s="10"/>
    </row>
    <row r="124">
      <c r="B124" s="21"/>
      <c r="F124" s="3"/>
      <c r="G124" s="3"/>
      <c r="H124" s="3"/>
      <c r="I124" s="3"/>
      <c r="L124" s="10"/>
    </row>
    <row r="125">
      <c r="B125" s="21"/>
      <c r="F125" s="3"/>
      <c r="G125" s="3"/>
      <c r="H125" s="3"/>
      <c r="I125" s="3"/>
      <c r="L125" s="10"/>
    </row>
    <row r="126">
      <c r="B126" s="21"/>
      <c r="F126" s="3"/>
      <c r="G126" s="3"/>
      <c r="H126" s="3"/>
      <c r="I126" s="3"/>
      <c r="L126" s="10"/>
    </row>
    <row r="127">
      <c r="B127" s="21"/>
      <c r="F127" s="3"/>
      <c r="G127" s="3"/>
      <c r="H127" s="3"/>
      <c r="I127" s="3"/>
      <c r="L127" s="10"/>
    </row>
    <row r="128">
      <c r="B128" s="21"/>
      <c r="F128" s="3"/>
      <c r="G128" s="3"/>
      <c r="H128" s="3"/>
      <c r="I128" s="3"/>
      <c r="L128" s="10"/>
    </row>
    <row r="129">
      <c r="B129" s="21"/>
      <c r="F129" s="3"/>
      <c r="G129" s="3"/>
      <c r="H129" s="3"/>
      <c r="I129" s="3"/>
      <c r="L129" s="10"/>
    </row>
    <row r="130">
      <c r="B130" s="21"/>
      <c r="F130" s="3"/>
      <c r="G130" s="3"/>
      <c r="H130" s="3"/>
      <c r="I130" s="3"/>
      <c r="L130" s="10"/>
    </row>
    <row r="131">
      <c r="B131" s="21"/>
      <c r="F131" s="3"/>
      <c r="G131" s="3"/>
      <c r="H131" s="3"/>
      <c r="I131" s="3"/>
      <c r="L131" s="10"/>
    </row>
    <row r="132">
      <c r="B132" s="21"/>
      <c r="F132" s="3"/>
      <c r="G132" s="3"/>
      <c r="H132" s="3"/>
      <c r="I132" s="3"/>
      <c r="L132" s="10"/>
    </row>
    <row r="133">
      <c r="B133" s="21"/>
      <c r="F133" s="3"/>
      <c r="G133" s="3"/>
      <c r="H133" s="3"/>
      <c r="I133" s="3"/>
      <c r="L133" s="10"/>
    </row>
    <row r="134">
      <c r="B134" s="21"/>
      <c r="F134" s="3"/>
      <c r="G134" s="3"/>
      <c r="H134" s="3"/>
      <c r="I134" s="3"/>
      <c r="L134" s="10"/>
    </row>
    <row r="135">
      <c r="B135" s="21"/>
      <c r="F135" s="3"/>
      <c r="G135" s="3"/>
      <c r="H135" s="3"/>
      <c r="I135" s="3"/>
      <c r="L135" s="10"/>
    </row>
    <row r="136">
      <c r="B136" s="21"/>
      <c r="F136" s="3"/>
      <c r="G136" s="3"/>
      <c r="H136" s="3"/>
      <c r="I136" s="3"/>
      <c r="L136" s="10"/>
    </row>
    <row r="137">
      <c r="B137" s="21"/>
      <c r="F137" s="3"/>
      <c r="G137" s="3"/>
      <c r="H137" s="3"/>
      <c r="I137" s="3"/>
      <c r="L137" s="10"/>
    </row>
    <row r="138">
      <c r="B138" s="21"/>
      <c r="F138" s="3"/>
      <c r="G138" s="3"/>
      <c r="H138" s="3"/>
      <c r="I138" s="3"/>
      <c r="L138" s="10"/>
    </row>
    <row r="139">
      <c r="B139" s="21"/>
      <c r="F139" s="3"/>
      <c r="G139" s="3"/>
      <c r="H139" s="3"/>
      <c r="I139" s="3"/>
      <c r="L139" s="10"/>
    </row>
    <row r="140">
      <c r="B140" s="21"/>
      <c r="F140" s="3"/>
      <c r="G140" s="3"/>
      <c r="H140" s="3"/>
      <c r="I140" s="3"/>
      <c r="L140" s="10"/>
    </row>
    <row r="141">
      <c r="B141" s="21"/>
      <c r="F141" s="3"/>
      <c r="G141" s="3"/>
      <c r="H141" s="3"/>
      <c r="I141" s="3"/>
      <c r="L141" s="10"/>
    </row>
    <row r="142">
      <c r="B142" s="21"/>
      <c r="F142" s="3"/>
      <c r="G142" s="3"/>
      <c r="H142" s="3"/>
      <c r="I142" s="3"/>
      <c r="L142" s="10"/>
    </row>
    <row r="143">
      <c r="B143" s="21"/>
      <c r="F143" s="3"/>
      <c r="G143" s="3"/>
      <c r="H143" s="3"/>
      <c r="I143" s="3"/>
      <c r="L143" s="10"/>
    </row>
    <row r="144">
      <c r="B144" s="21"/>
      <c r="F144" s="3"/>
      <c r="G144" s="3"/>
      <c r="H144" s="3"/>
      <c r="I144" s="3"/>
      <c r="L144" s="10"/>
    </row>
    <row r="145">
      <c r="B145" s="21"/>
      <c r="F145" s="3"/>
      <c r="G145" s="3"/>
      <c r="H145" s="3"/>
      <c r="I145" s="3"/>
      <c r="L145" s="10"/>
    </row>
    <row r="146">
      <c r="B146" s="21"/>
      <c r="F146" s="3"/>
      <c r="G146" s="3"/>
      <c r="H146" s="3"/>
      <c r="I146" s="3"/>
      <c r="L146" s="10"/>
    </row>
    <row r="147">
      <c r="B147" s="21"/>
      <c r="F147" s="3"/>
      <c r="G147" s="3"/>
      <c r="H147" s="3"/>
      <c r="I147" s="3"/>
      <c r="L147" s="10"/>
    </row>
    <row r="148">
      <c r="B148" s="21"/>
      <c r="F148" s="3"/>
      <c r="G148" s="3"/>
      <c r="H148" s="3"/>
      <c r="I148" s="3"/>
      <c r="L148" s="10"/>
    </row>
    <row r="149">
      <c r="B149" s="21"/>
      <c r="F149" s="3"/>
      <c r="G149" s="3"/>
      <c r="H149" s="3"/>
      <c r="I149" s="3"/>
      <c r="L149" s="10"/>
    </row>
    <row r="150">
      <c r="B150" s="21"/>
      <c r="F150" s="3"/>
      <c r="G150" s="3"/>
      <c r="H150" s="3"/>
      <c r="I150" s="3"/>
      <c r="L150" s="10"/>
    </row>
    <row r="151">
      <c r="B151" s="21"/>
      <c r="F151" s="3"/>
      <c r="G151" s="3"/>
      <c r="H151" s="3"/>
      <c r="I151" s="3"/>
      <c r="L151" s="10"/>
    </row>
    <row r="152">
      <c r="B152" s="21"/>
      <c r="F152" s="3"/>
      <c r="G152" s="3"/>
      <c r="H152" s="3"/>
      <c r="I152" s="3"/>
      <c r="L152" s="10"/>
    </row>
    <row r="153">
      <c r="B153" s="21"/>
      <c r="F153" s="3"/>
      <c r="G153" s="3"/>
      <c r="H153" s="3"/>
      <c r="I153" s="3"/>
      <c r="L153" s="10"/>
    </row>
    <row r="154">
      <c r="B154" s="21"/>
      <c r="F154" s="3"/>
      <c r="G154" s="3"/>
      <c r="H154" s="3"/>
      <c r="I154" s="3"/>
      <c r="L154" s="10"/>
    </row>
    <row r="155">
      <c r="B155" s="21"/>
      <c r="F155" s="3"/>
      <c r="G155" s="3"/>
      <c r="H155" s="3"/>
      <c r="I155" s="3"/>
      <c r="L155" s="10"/>
    </row>
    <row r="156">
      <c r="B156" s="21"/>
      <c r="F156" s="3"/>
      <c r="G156" s="3"/>
      <c r="H156" s="3"/>
      <c r="I156" s="3"/>
      <c r="L156" s="10"/>
    </row>
    <row r="157">
      <c r="B157" s="21"/>
      <c r="F157" s="3"/>
      <c r="G157" s="3"/>
      <c r="H157" s="3"/>
      <c r="I157" s="3"/>
      <c r="L157" s="10"/>
    </row>
    <row r="158">
      <c r="B158" s="21"/>
      <c r="F158" s="3"/>
      <c r="G158" s="3"/>
      <c r="H158" s="3"/>
      <c r="I158" s="3"/>
      <c r="L158" s="10"/>
    </row>
    <row r="159">
      <c r="B159" s="21"/>
      <c r="F159" s="3"/>
      <c r="G159" s="3"/>
      <c r="H159" s="3"/>
      <c r="I159" s="3"/>
      <c r="L159" s="10"/>
    </row>
    <row r="160">
      <c r="B160" s="21"/>
      <c r="F160" s="3"/>
      <c r="G160" s="3"/>
      <c r="H160" s="3"/>
      <c r="I160" s="3"/>
      <c r="L160" s="10"/>
    </row>
    <row r="161">
      <c r="B161" s="21"/>
      <c r="F161" s="3"/>
      <c r="G161" s="3"/>
      <c r="H161" s="3"/>
      <c r="I161" s="3"/>
      <c r="L161" s="10"/>
    </row>
    <row r="162">
      <c r="B162" s="21"/>
      <c r="F162" s="3"/>
      <c r="G162" s="3"/>
      <c r="H162" s="3"/>
      <c r="I162" s="3"/>
      <c r="L162" s="10"/>
    </row>
    <row r="163">
      <c r="B163" s="21"/>
      <c r="F163" s="3"/>
      <c r="G163" s="3"/>
      <c r="H163" s="3"/>
      <c r="I163" s="3"/>
      <c r="L163" s="10"/>
    </row>
    <row r="164">
      <c r="B164" s="21"/>
      <c r="F164" s="3"/>
      <c r="G164" s="3"/>
      <c r="H164" s="3"/>
      <c r="I164" s="3"/>
      <c r="L164" s="10"/>
    </row>
    <row r="165">
      <c r="B165" s="21"/>
      <c r="F165" s="3"/>
      <c r="G165" s="3"/>
      <c r="H165" s="3"/>
      <c r="I165" s="3"/>
      <c r="L165" s="10"/>
    </row>
    <row r="166">
      <c r="B166" s="21"/>
      <c r="F166" s="3"/>
      <c r="G166" s="3"/>
      <c r="H166" s="3"/>
      <c r="I166" s="3"/>
      <c r="L166" s="10"/>
    </row>
    <row r="167">
      <c r="B167" s="21"/>
      <c r="F167" s="3"/>
      <c r="G167" s="3"/>
      <c r="H167" s="3"/>
      <c r="I167" s="3"/>
      <c r="L167" s="10"/>
    </row>
    <row r="168">
      <c r="B168" s="21"/>
      <c r="F168" s="3"/>
      <c r="G168" s="3"/>
      <c r="H168" s="3"/>
      <c r="I168" s="3"/>
      <c r="L168" s="10"/>
    </row>
    <row r="169">
      <c r="B169" s="21"/>
      <c r="F169" s="3"/>
      <c r="G169" s="3"/>
      <c r="H169" s="3"/>
      <c r="I169" s="3"/>
      <c r="L169" s="10"/>
    </row>
    <row r="170">
      <c r="B170" s="21"/>
      <c r="F170" s="3"/>
      <c r="G170" s="3"/>
      <c r="H170" s="3"/>
      <c r="I170" s="3"/>
      <c r="L170" s="10"/>
    </row>
    <row r="171">
      <c r="B171" s="21"/>
      <c r="F171" s="3"/>
      <c r="G171" s="3"/>
      <c r="H171" s="3"/>
      <c r="I171" s="3"/>
      <c r="L171" s="10"/>
    </row>
    <row r="172">
      <c r="B172" s="21"/>
      <c r="F172" s="3"/>
      <c r="G172" s="3"/>
      <c r="H172" s="3"/>
      <c r="I172" s="3"/>
      <c r="L172" s="10"/>
    </row>
    <row r="173">
      <c r="B173" s="21"/>
      <c r="F173" s="3"/>
      <c r="G173" s="3"/>
      <c r="H173" s="3"/>
      <c r="I173" s="3"/>
      <c r="L173" s="10"/>
    </row>
    <row r="174">
      <c r="B174" s="21"/>
      <c r="F174" s="3"/>
      <c r="G174" s="3"/>
      <c r="H174" s="3"/>
      <c r="I174" s="3"/>
      <c r="L174" s="10"/>
    </row>
    <row r="175">
      <c r="B175" s="21"/>
      <c r="F175" s="3"/>
      <c r="G175" s="3"/>
      <c r="H175" s="3"/>
      <c r="I175" s="3"/>
      <c r="L175" s="10"/>
    </row>
    <row r="176">
      <c r="B176" s="21"/>
      <c r="F176" s="3"/>
      <c r="G176" s="3"/>
      <c r="H176" s="3"/>
      <c r="I176" s="3"/>
      <c r="L176" s="10"/>
    </row>
    <row r="177">
      <c r="B177" s="21"/>
      <c r="F177" s="3"/>
      <c r="G177" s="3"/>
      <c r="H177" s="3"/>
      <c r="I177" s="3"/>
      <c r="L177" s="10"/>
    </row>
    <row r="178">
      <c r="B178" s="21"/>
      <c r="F178" s="3"/>
      <c r="G178" s="3"/>
      <c r="H178" s="3"/>
      <c r="I178" s="3"/>
      <c r="L178" s="10"/>
    </row>
    <row r="179">
      <c r="B179" s="21"/>
      <c r="F179" s="3"/>
      <c r="G179" s="3"/>
      <c r="H179" s="3"/>
      <c r="I179" s="3"/>
      <c r="L179" s="10"/>
    </row>
    <row r="180">
      <c r="B180" s="21"/>
      <c r="F180" s="3"/>
      <c r="G180" s="3"/>
      <c r="H180" s="3"/>
      <c r="I180" s="3"/>
      <c r="L180" s="10"/>
    </row>
    <row r="181">
      <c r="B181" s="21"/>
      <c r="F181" s="3"/>
      <c r="G181" s="3"/>
      <c r="H181" s="3"/>
      <c r="I181" s="3"/>
      <c r="L181" s="10"/>
    </row>
    <row r="182">
      <c r="B182" s="21"/>
      <c r="F182" s="3"/>
      <c r="G182" s="3"/>
      <c r="H182" s="3"/>
      <c r="I182" s="3"/>
      <c r="L182" s="10"/>
    </row>
    <row r="183">
      <c r="B183" s="21"/>
      <c r="F183" s="3"/>
      <c r="G183" s="3"/>
      <c r="H183" s="3"/>
      <c r="I183" s="3"/>
      <c r="L183" s="10"/>
    </row>
    <row r="184">
      <c r="B184" s="21"/>
      <c r="F184" s="3"/>
      <c r="G184" s="3"/>
      <c r="H184" s="3"/>
      <c r="I184" s="3"/>
      <c r="L184" s="10"/>
    </row>
    <row r="185">
      <c r="B185" s="21"/>
      <c r="F185" s="3"/>
      <c r="G185" s="3"/>
      <c r="H185" s="3"/>
      <c r="I185" s="3"/>
      <c r="L185" s="10"/>
    </row>
    <row r="186">
      <c r="B186" s="21"/>
      <c r="F186" s="3"/>
      <c r="G186" s="3"/>
      <c r="H186" s="3"/>
      <c r="I186" s="3"/>
      <c r="L186" s="10"/>
    </row>
    <row r="187">
      <c r="B187" s="21"/>
      <c r="F187" s="3"/>
      <c r="G187" s="3"/>
      <c r="H187" s="3"/>
      <c r="I187" s="3"/>
      <c r="L187" s="10"/>
    </row>
    <row r="188">
      <c r="B188" s="21"/>
      <c r="F188" s="3"/>
      <c r="G188" s="3"/>
      <c r="H188" s="3"/>
      <c r="I188" s="3"/>
      <c r="L188" s="10"/>
    </row>
    <row r="189">
      <c r="B189" s="21"/>
      <c r="F189" s="3"/>
      <c r="G189" s="3"/>
      <c r="H189" s="3"/>
      <c r="I189" s="3"/>
      <c r="L189" s="10"/>
    </row>
    <row r="190">
      <c r="B190" s="21"/>
      <c r="F190" s="3"/>
      <c r="G190" s="3"/>
      <c r="H190" s="3"/>
      <c r="I190" s="3"/>
      <c r="L190" s="10"/>
    </row>
    <row r="191">
      <c r="B191" s="21"/>
      <c r="F191" s="3"/>
      <c r="G191" s="3"/>
      <c r="H191" s="3"/>
      <c r="I191" s="3"/>
      <c r="L191" s="10"/>
    </row>
    <row r="192">
      <c r="B192" s="21"/>
      <c r="F192" s="3"/>
      <c r="G192" s="3"/>
      <c r="H192" s="3"/>
      <c r="I192" s="3"/>
      <c r="L192" s="10"/>
    </row>
    <row r="193">
      <c r="B193" s="21"/>
      <c r="F193" s="3"/>
      <c r="G193" s="3"/>
      <c r="H193" s="3"/>
      <c r="I193" s="3"/>
      <c r="L193" s="10"/>
    </row>
    <row r="194">
      <c r="B194" s="21"/>
      <c r="F194" s="3"/>
      <c r="G194" s="3"/>
      <c r="H194" s="3"/>
      <c r="I194" s="3"/>
      <c r="L194" s="10"/>
    </row>
    <row r="195">
      <c r="B195" s="21"/>
      <c r="F195" s="3"/>
      <c r="G195" s="3"/>
      <c r="H195" s="3"/>
      <c r="I195" s="3"/>
      <c r="L195" s="10"/>
    </row>
    <row r="196">
      <c r="B196" s="21"/>
      <c r="F196" s="3"/>
      <c r="G196" s="3"/>
      <c r="H196" s="3"/>
      <c r="I196" s="3"/>
      <c r="L196" s="10"/>
    </row>
    <row r="197">
      <c r="B197" s="21"/>
      <c r="F197" s="3"/>
      <c r="G197" s="3"/>
      <c r="H197" s="3"/>
      <c r="I197" s="3"/>
      <c r="L197" s="10"/>
    </row>
    <row r="198">
      <c r="B198" s="21"/>
      <c r="F198" s="3"/>
      <c r="G198" s="3"/>
      <c r="H198" s="3"/>
      <c r="I198" s="3"/>
      <c r="L198" s="10"/>
    </row>
    <row r="199">
      <c r="B199" s="21"/>
      <c r="F199" s="3"/>
      <c r="G199" s="3"/>
      <c r="H199" s="3"/>
      <c r="I199" s="3"/>
      <c r="L199" s="10"/>
    </row>
    <row r="200">
      <c r="B200" s="21"/>
      <c r="F200" s="3"/>
      <c r="G200" s="3"/>
      <c r="H200" s="3"/>
      <c r="I200" s="3"/>
      <c r="L200" s="10"/>
    </row>
    <row r="201">
      <c r="B201" s="21"/>
      <c r="F201" s="3"/>
      <c r="G201" s="3"/>
      <c r="H201" s="3"/>
      <c r="I201" s="3"/>
      <c r="L201" s="10"/>
    </row>
    <row r="202">
      <c r="B202" s="21"/>
      <c r="F202" s="3"/>
      <c r="G202" s="3"/>
      <c r="H202" s="3"/>
      <c r="I202" s="3"/>
      <c r="L202" s="10"/>
    </row>
    <row r="203">
      <c r="B203" s="21"/>
      <c r="F203" s="3"/>
      <c r="G203" s="3"/>
      <c r="H203" s="3"/>
      <c r="I203" s="3"/>
      <c r="L203" s="10"/>
    </row>
    <row r="204">
      <c r="B204" s="21"/>
      <c r="F204" s="3"/>
      <c r="G204" s="3"/>
      <c r="H204" s="3"/>
      <c r="I204" s="3"/>
      <c r="L204" s="10"/>
    </row>
    <row r="205">
      <c r="B205" s="21"/>
      <c r="F205" s="3"/>
      <c r="G205" s="3"/>
      <c r="H205" s="3"/>
      <c r="I205" s="3"/>
      <c r="L205" s="10"/>
    </row>
    <row r="206">
      <c r="B206" s="21"/>
      <c r="F206" s="3"/>
      <c r="G206" s="3"/>
      <c r="H206" s="3"/>
      <c r="I206" s="3"/>
      <c r="L206" s="10"/>
    </row>
    <row r="207">
      <c r="B207" s="21"/>
      <c r="F207" s="3"/>
      <c r="G207" s="3"/>
      <c r="H207" s="3"/>
      <c r="I207" s="3"/>
      <c r="L207" s="10"/>
    </row>
    <row r="208">
      <c r="B208" s="21"/>
      <c r="F208" s="3"/>
      <c r="G208" s="3"/>
      <c r="H208" s="3"/>
      <c r="I208" s="3"/>
      <c r="L208" s="10"/>
    </row>
    <row r="209">
      <c r="B209" s="21"/>
      <c r="F209" s="3"/>
      <c r="G209" s="3"/>
      <c r="H209" s="3"/>
      <c r="I209" s="3"/>
      <c r="L209" s="10"/>
    </row>
    <row r="210">
      <c r="B210" s="21"/>
      <c r="F210" s="3"/>
      <c r="G210" s="3"/>
      <c r="H210" s="3"/>
      <c r="I210" s="3"/>
      <c r="L210" s="10"/>
    </row>
    <row r="211">
      <c r="B211" s="21"/>
      <c r="F211" s="3"/>
      <c r="G211" s="3"/>
      <c r="H211" s="3"/>
      <c r="I211" s="3"/>
      <c r="L211" s="10"/>
    </row>
    <row r="212">
      <c r="B212" s="21"/>
      <c r="F212" s="3"/>
      <c r="G212" s="3"/>
      <c r="H212" s="3"/>
      <c r="I212" s="3"/>
      <c r="L212" s="10"/>
    </row>
    <row r="213">
      <c r="B213" s="21"/>
      <c r="F213" s="3"/>
      <c r="G213" s="3"/>
      <c r="H213" s="3"/>
      <c r="I213" s="3"/>
      <c r="L213" s="10"/>
    </row>
    <row r="214">
      <c r="B214" s="21"/>
      <c r="F214" s="3"/>
      <c r="G214" s="3"/>
      <c r="H214" s="3"/>
      <c r="I214" s="3"/>
      <c r="L214" s="10"/>
    </row>
    <row r="215">
      <c r="B215" s="21"/>
      <c r="F215" s="3"/>
      <c r="G215" s="3"/>
      <c r="H215" s="3"/>
      <c r="I215" s="3"/>
      <c r="L215" s="10"/>
    </row>
    <row r="216">
      <c r="B216" s="21"/>
      <c r="F216" s="3"/>
      <c r="G216" s="3"/>
      <c r="H216" s="3"/>
      <c r="I216" s="3"/>
      <c r="L216" s="10"/>
    </row>
    <row r="217">
      <c r="B217" s="21"/>
      <c r="F217" s="3"/>
      <c r="G217" s="3"/>
      <c r="H217" s="3"/>
      <c r="I217" s="3"/>
      <c r="L217" s="10"/>
    </row>
    <row r="218">
      <c r="B218" s="21"/>
      <c r="F218" s="3"/>
      <c r="G218" s="3"/>
      <c r="H218" s="3"/>
      <c r="I218" s="3"/>
      <c r="L218" s="10"/>
    </row>
    <row r="219">
      <c r="B219" s="21"/>
      <c r="F219" s="3"/>
      <c r="G219" s="3"/>
      <c r="H219" s="3"/>
      <c r="I219" s="3"/>
      <c r="L219" s="10"/>
    </row>
    <row r="220">
      <c r="B220" s="21"/>
      <c r="F220" s="3"/>
      <c r="G220" s="3"/>
      <c r="H220" s="3"/>
      <c r="I220" s="3"/>
      <c r="L220" s="10"/>
    </row>
    <row r="221">
      <c r="B221" s="21"/>
      <c r="F221" s="3"/>
      <c r="G221" s="3"/>
      <c r="H221" s="3"/>
      <c r="I221" s="3"/>
      <c r="L221" s="10"/>
    </row>
    <row r="222">
      <c r="B222" s="21"/>
      <c r="F222" s="3"/>
      <c r="G222" s="3"/>
      <c r="H222" s="3"/>
      <c r="I222" s="3"/>
      <c r="L222" s="10"/>
    </row>
    <row r="223">
      <c r="B223" s="21"/>
      <c r="F223" s="3"/>
      <c r="G223" s="3"/>
      <c r="H223" s="3"/>
      <c r="I223" s="3"/>
      <c r="L223" s="10"/>
    </row>
    <row r="224">
      <c r="B224" s="21"/>
      <c r="F224" s="3"/>
      <c r="G224" s="3"/>
      <c r="H224" s="3"/>
      <c r="I224" s="3"/>
      <c r="L224" s="10"/>
    </row>
    <row r="225">
      <c r="B225" s="21"/>
      <c r="F225" s="3"/>
      <c r="G225" s="3"/>
      <c r="H225" s="3"/>
      <c r="I225" s="3"/>
      <c r="L225" s="10"/>
    </row>
    <row r="226">
      <c r="B226" s="21"/>
      <c r="F226" s="3"/>
      <c r="G226" s="3"/>
      <c r="H226" s="3"/>
      <c r="I226" s="3"/>
      <c r="L226" s="10"/>
    </row>
    <row r="227">
      <c r="B227" s="21"/>
      <c r="F227" s="3"/>
      <c r="G227" s="3"/>
      <c r="H227" s="3"/>
      <c r="I227" s="3"/>
      <c r="L227" s="10"/>
    </row>
    <row r="228">
      <c r="B228" s="21"/>
      <c r="F228" s="3"/>
      <c r="G228" s="3"/>
      <c r="H228" s="3"/>
      <c r="I228" s="3"/>
      <c r="L228" s="10"/>
    </row>
    <row r="229">
      <c r="B229" s="21"/>
      <c r="F229" s="3"/>
      <c r="G229" s="3"/>
      <c r="H229" s="3"/>
      <c r="I229" s="3"/>
      <c r="L229" s="10"/>
    </row>
    <row r="230">
      <c r="B230" s="21"/>
      <c r="F230" s="3"/>
      <c r="G230" s="3"/>
      <c r="H230" s="3"/>
      <c r="I230" s="3"/>
      <c r="L230" s="10"/>
    </row>
    <row r="231">
      <c r="B231" s="21"/>
      <c r="F231" s="3"/>
      <c r="G231" s="3"/>
      <c r="H231" s="3"/>
      <c r="I231" s="3"/>
      <c r="L231" s="10"/>
    </row>
    <row r="232">
      <c r="B232" s="21"/>
      <c r="F232" s="3"/>
      <c r="G232" s="3"/>
      <c r="H232" s="3"/>
      <c r="I232" s="3"/>
      <c r="L232" s="10"/>
    </row>
    <row r="233">
      <c r="B233" s="21"/>
      <c r="F233" s="3"/>
      <c r="G233" s="3"/>
      <c r="H233" s="3"/>
      <c r="I233" s="3"/>
      <c r="L233" s="10"/>
    </row>
    <row r="234">
      <c r="B234" s="21"/>
      <c r="F234" s="3"/>
      <c r="G234" s="3"/>
      <c r="H234" s="3"/>
      <c r="I234" s="3"/>
      <c r="L234" s="10"/>
    </row>
    <row r="235">
      <c r="B235" s="21"/>
      <c r="F235" s="3"/>
      <c r="G235" s="3"/>
      <c r="H235" s="3"/>
      <c r="I235" s="3"/>
      <c r="L235" s="10"/>
    </row>
    <row r="236">
      <c r="B236" s="21"/>
      <c r="F236" s="3"/>
      <c r="G236" s="3"/>
      <c r="H236" s="3"/>
      <c r="I236" s="3"/>
      <c r="L236" s="10"/>
    </row>
    <row r="237">
      <c r="B237" s="21"/>
      <c r="F237" s="3"/>
      <c r="G237" s="3"/>
      <c r="H237" s="3"/>
      <c r="I237" s="3"/>
      <c r="L237" s="10"/>
    </row>
    <row r="238">
      <c r="B238" s="21"/>
      <c r="F238" s="3"/>
      <c r="G238" s="3"/>
      <c r="H238" s="3"/>
      <c r="I238" s="3"/>
      <c r="L238" s="10"/>
    </row>
    <row r="239">
      <c r="B239" s="21"/>
      <c r="F239" s="3"/>
      <c r="G239" s="3"/>
      <c r="H239" s="3"/>
      <c r="I239" s="3"/>
      <c r="L239" s="10"/>
    </row>
    <row r="240">
      <c r="B240" s="21"/>
      <c r="F240" s="3"/>
      <c r="G240" s="3"/>
      <c r="H240" s="3"/>
      <c r="I240" s="3"/>
      <c r="L240" s="10"/>
    </row>
    <row r="241">
      <c r="B241" s="21"/>
      <c r="F241" s="3"/>
      <c r="G241" s="3"/>
      <c r="H241" s="3"/>
      <c r="I241" s="3"/>
      <c r="L241" s="10"/>
    </row>
    <row r="242">
      <c r="B242" s="21"/>
      <c r="F242" s="3"/>
      <c r="G242" s="3"/>
      <c r="H242" s="3"/>
      <c r="I242" s="3"/>
      <c r="L242" s="10"/>
    </row>
    <row r="243">
      <c r="B243" s="21"/>
      <c r="F243" s="3"/>
      <c r="G243" s="3"/>
      <c r="H243" s="3"/>
      <c r="I243" s="3"/>
      <c r="L243" s="10"/>
    </row>
    <row r="244">
      <c r="B244" s="21"/>
      <c r="F244" s="3"/>
      <c r="G244" s="3"/>
      <c r="H244" s="3"/>
      <c r="I244" s="3"/>
      <c r="L244" s="10"/>
    </row>
    <row r="245">
      <c r="B245" s="21"/>
      <c r="F245" s="3"/>
      <c r="G245" s="3"/>
      <c r="H245" s="3"/>
      <c r="I245" s="3"/>
      <c r="L245" s="10"/>
    </row>
    <row r="246">
      <c r="B246" s="21"/>
      <c r="F246" s="3"/>
      <c r="G246" s="3"/>
      <c r="H246" s="3"/>
      <c r="I246" s="3"/>
      <c r="L246" s="10"/>
    </row>
    <row r="247">
      <c r="B247" s="21"/>
      <c r="F247" s="3"/>
      <c r="G247" s="3"/>
      <c r="H247" s="3"/>
      <c r="I247" s="3"/>
      <c r="L247" s="10"/>
    </row>
    <row r="248">
      <c r="B248" s="21"/>
      <c r="F248" s="3"/>
      <c r="G248" s="3"/>
      <c r="H248" s="3"/>
      <c r="I248" s="3"/>
      <c r="L248" s="10"/>
    </row>
    <row r="249">
      <c r="B249" s="21"/>
      <c r="F249" s="3"/>
      <c r="G249" s="3"/>
      <c r="H249" s="3"/>
      <c r="I249" s="3"/>
      <c r="L249" s="10"/>
    </row>
    <row r="250">
      <c r="B250" s="21"/>
      <c r="F250" s="3"/>
      <c r="G250" s="3"/>
      <c r="H250" s="3"/>
      <c r="I250" s="3"/>
      <c r="L250" s="10"/>
    </row>
    <row r="251">
      <c r="B251" s="21"/>
      <c r="F251" s="3"/>
      <c r="G251" s="3"/>
      <c r="H251" s="3"/>
      <c r="I251" s="3"/>
      <c r="L251" s="10"/>
    </row>
    <row r="252">
      <c r="B252" s="21"/>
      <c r="F252" s="3"/>
      <c r="G252" s="3"/>
      <c r="H252" s="3"/>
      <c r="I252" s="3"/>
      <c r="L252" s="10"/>
    </row>
    <row r="253">
      <c r="B253" s="21"/>
      <c r="F253" s="3"/>
      <c r="G253" s="3"/>
      <c r="H253" s="3"/>
      <c r="I253" s="3"/>
      <c r="L253" s="10"/>
    </row>
    <row r="254">
      <c r="B254" s="21"/>
      <c r="F254" s="3"/>
      <c r="G254" s="3"/>
      <c r="H254" s="3"/>
      <c r="I254" s="3"/>
      <c r="L254" s="10"/>
    </row>
    <row r="255">
      <c r="B255" s="21"/>
      <c r="F255" s="3"/>
      <c r="G255" s="3"/>
      <c r="H255" s="3"/>
      <c r="I255" s="3"/>
      <c r="L255" s="10"/>
    </row>
    <row r="256">
      <c r="B256" s="21"/>
      <c r="F256" s="3"/>
      <c r="G256" s="3"/>
      <c r="H256" s="3"/>
      <c r="I256" s="3"/>
      <c r="L256" s="10"/>
    </row>
    <row r="257">
      <c r="B257" s="21"/>
      <c r="F257" s="3"/>
      <c r="G257" s="3"/>
      <c r="H257" s="3"/>
      <c r="I257" s="3"/>
      <c r="L257" s="10"/>
    </row>
    <row r="258">
      <c r="B258" s="21"/>
      <c r="F258" s="3"/>
      <c r="G258" s="3"/>
      <c r="H258" s="3"/>
      <c r="I258" s="3"/>
      <c r="L258" s="10"/>
    </row>
    <row r="259">
      <c r="B259" s="21"/>
      <c r="F259" s="3"/>
      <c r="G259" s="3"/>
      <c r="H259" s="3"/>
      <c r="I259" s="3"/>
      <c r="L259" s="10"/>
    </row>
    <row r="260">
      <c r="B260" s="21"/>
      <c r="F260" s="3"/>
      <c r="G260" s="3"/>
      <c r="H260" s="3"/>
      <c r="I260" s="3"/>
      <c r="L260" s="10"/>
    </row>
    <row r="261">
      <c r="B261" s="21"/>
      <c r="F261" s="3"/>
      <c r="G261" s="3"/>
      <c r="H261" s="3"/>
      <c r="I261" s="3"/>
      <c r="L261" s="10"/>
    </row>
    <row r="262">
      <c r="B262" s="21"/>
      <c r="F262" s="3"/>
      <c r="G262" s="3"/>
      <c r="H262" s="3"/>
      <c r="I262" s="3"/>
      <c r="L262" s="10"/>
    </row>
    <row r="263">
      <c r="B263" s="21"/>
      <c r="F263" s="3"/>
      <c r="G263" s="3"/>
      <c r="H263" s="3"/>
      <c r="I263" s="3"/>
      <c r="L263" s="10"/>
    </row>
    <row r="264">
      <c r="B264" s="21"/>
      <c r="F264" s="3"/>
      <c r="G264" s="3"/>
      <c r="H264" s="3"/>
      <c r="I264" s="3"/>
      <c r="L264" s="10"/>
    </row>
    <row r="265">
      <c r="B265" s="21"/>
      <c r="F265" s="3"/>
      <c r="G265" s="3"/>
      <c r="H265" s="3"/>
      <c r="I265" s="3"/>
      <c r="L265" s="10"/>
    </row>
    <row r="266">
      <c r="B266" s="21"/>
      <c r="F266" s="3"/>
      <c r="G266" s="3"/>
      <c r="H266" s="3"/>
      <c r="I266" s="3"/>
      <c r="L266" s="10"/>
    </row>
    <row r="267">
      <c r="B267" s="21"/>
      <c r="F267" s="3"/>
      <c r="G267" s="3"/>
      <c r="H267" s="3"/>
      <c r="I267" s="3"/>
      <c r="L267" s="10"/>
    </row>
    <row r="268">
      <c r="B268" s="21"/>
      <c r="F268" s="3"/>
      <c r="G268" s="3"/>
      <c r="H268" s="3"/>
      <c r="I268" s="3"/>
      <c r="L268" s="10"/>
    </row>
    <row r="269">
      <c r="B269" s="21"/>
      <c r="F269" s="3"/>
      <c r="G269" s="3"/>
      <c r="H269" s="3"/>
      <c r="I269" s="3"/>
      <c r="L269" s="10"/>
    </row>
    <row r="270">
      <c r="B270" s="21"/>
      <c r="F270" s="3"/>
      <c r="G270" s="3"/>
      <c r="H270" s="3"/>
      <c r="I270" s="3"/>
      <c r="L270" s="10"/>
    </row>
    <row r="271">
      <c r="B271" s="21"/>
      <c r="F271" s="3"/>
      <c r="G271" s="3"/>
      <c r="H271" s="3"/>
      <c r="I271" s="3"/>
      <c r="L271" s="10"/>
    </row>
    <row r="272">
      <c r="B272" s="21"/>
      <c r="F272" s="3"/>
      <c r="G272" s="3"/>
      <c r="H272" s="3"/>
      <c r="I272" s="3"/>
      <c r="L272" s="10"/>
    </row>
    <row r="273">
      <c r="B273" s="21"/>
      <c r="F273" s="3"/>
      <c r="G273" s="3"/>
      <c r="H273" s="3"/>
      <c r="I273" s="3"/>
      <c r="L273" s="10"/>
    </row>
    <row r="274">
      <c r="B274" s="21"/>
      <c r="F274" s="3"/>
      <c r="G274" s="3"/>
      <c r="H274" s="3"/>
      <c r="I274" s="3"/>
      <c r="L274" s="10"/>
    </row>
    <row r="275">
      <c r="B275" s="21"/>
      <c r="F275" s="3"/>
      <c r="G275" s="3"/>
      <c r="H275" s="3"/>
      <c r="I275" s="3"/>
      <c r="L275" s="10"/>
    </row>
    <row r="276">
      <c r="B276" s="21"/>
      <c r="F276" s="3"/>
      <c r="G276" s="3"/>
      <c r="H276" s="3"/>
      <c r="I276" s="3"/>
      <c r="L276" s="10"/>
    </row>
    <row r="277">
      <c r="B277" s="21"/>
      <c r="F277" s="3"/>
      <c r="G277" s="3"/>
      <c r="H277" s="3"/>
      <c r="I277" s="3"/>
      <c r="L277" s="10"/>
    </row>
    <row r="278">
      <c r="B278" s="21"/>
      <c r="F278" s="3"/>
      <c r="G278" s="3"/>
      <c r="H278" s="3"/>
      <c r="I278" s="3"/>
      <c r="L278" s="10"/>
    </row>
    <row r="279">
      <c r="B279" s="21"/>
      <c r="F279" s="3"/>
      <c r="G279" s="3"/>
      <c r="H279" s="3"/>
      <c r="I279" s="3"/>
      <c r="L279" s="10"/>
    </row>
    <row r="280">
      <c r="B280" s="21"/>
      <c r="F280" s="3"/>
      <c r="G280" s="3"/>
      <c r="H280" s="3"/>
      <c r="I280" s="3"/>
      <c r="L280" s="10"/>
    </row>
    <row r="281">
      <c r="B281" s="21"/>
      <c r="F281" s="3"/>
      <c r="G281" s="3"/>
      <c r="H281" s="3"/>
      <c r="I281" s="3"/>
      <c r="L281" s="10"/>
    </row>
    <row r="282">
      <c r="B282" s="21"/>
      <c r="F282" s="3"/>
      <c r="G282" s="3"/>
      <c r="H282" s="3"/>
      <c r="I282" s="3"/>
      <c r="L282" s="10"/>
    </row>
    <row r="283">
      <c r="B283" s="21"/>
      <c r="F283" s="3"/>
      <c r="G283" s="3"/>
      <c r="H283" s="3"/>
      <c r="I283" s="3"/>
      <c r="L283" s="10"/>
    </row>
    <row r="284">
      <c r="B284" s="21"/>
      <c r="F284" s="3"/>
      <c r="G284" s="3"/>
      <c r="H284" s="3"/>
      <c r="I284" s="3"/>
      <c r="L284" s="10"/>
    </row>
    <row r="285">
      <c r="B285" s="21"/>
      <c r="F285" s="3"/>
      <c r="G285" s="3"/>
      <c r="H285" s="3"/>
      <c r="I285" s="3"/>
      <c r="L285" s="10"/>
    </row>
    <row r="286">
      <c r="B286" s="21"/>
      <c r="F286" s="3"/>
      <c r="G286" s="3"/>
      <c r="H286" s="3"/>
      <c r="I286" s="3"/>
      <c r="L286" s="10"/>
    </row>
    <row r="287">
      <c r="B287" s="21"/>
      <c r="F287" s="3"/>
      <c r="G287" s="3"/>
      <c r="H287" s="3"/>
      <c r="I287" s="3"/>
      <c r="L287" s="10"/>
    </row>
    <row r="288">
      <c r="B288" s="21"/>
      <c r="F288" s="3"/>
      <c r="G288" s="3"/>
      <c r="H288" s="3"/>
      <c r="I288" s="3"/>
      <c r="L288" s="10"/>
    </row>
    <row r="289">
      <c r="B289" s="21"/>
      <c r="F289" s="3"/>
      <c r="G289" s="3"/>
      <c r="H289" s="3"/>
      <c r="I289" s="3"/>
      <c r="L289" s="10"/>
    </row>
    <row r="290">
      <c r="B290" s="21"/>
      <c r="F290" s="3"/>
      <c r="G290" s="3"/>
      <c r="H290" s="3"/>
      <c r="I290" s="3"/>
      <c r="L290" s="10"/>
    </row>
    <row r="291">
      <c r="B291" s="21"/>
      <c r="F291" s="3"/>
      <c r="G291" s="3"/>
      <c r="H291" s="3"/>
      <c r="I291" s="3"/>
      <c r="L291" s="10"/>
    </row>
    <row r="292">
      <c r="B292" s="21"/>
      <c r="F292" s="3"/>
      <c r="G292" s="3"/>
      <c r="H292" s="3"/>
      <c r="I292" s="3"/>
      <c r="L292" s="10"/>
    </row>
    <row r="293">
      <c r="B293" s="21"/>
      <c r="F293" s="3"/>
      <c r="G293" s="3"/>
      <c r="H293" s="3"/>
      <c r="I293" s="3"/>
      <c r="L293" s="10"/>
    </row>
    <row r="294">
      <c r="B294" s="21"/>
      <c r="F294" s="3"/>
      <c r="G294" s="3"/>
      <c r="H294" s="3"/>
      <c r="I294" s="3"/>
      <c r="L294" s="10"/>
    </row>
    <row r="295">
      <c r="B295" s="21"/>
      <c r="F295" s="3"/>
      <c r="G295" s="3"/>
      <c r="H295" s="3"/>
      <c r="I295" s="3"/>
      <c r="L295" s="10"/>
    </row>
    <row r="296">
      <c r="B296" s="21"/>
      <c r="F296" s="3"/>
      <c r="G296" s="3"/>
      <c r="H296" s="3"/>
      <c r="I296" s="3"/>
      <c r="L296" s="10"/>
    </row>
    <row r="297">
      <c r="B297" s="21"/>
      <c r="F297" s="3"/>
      <c r="G297" s="3"/>
      <c r="H297" s="3"/>
      <c r="I297" s="3"/>
      <c r="L297" s="10"/>
    </row>
    <row r="298">
      <c r="B298" s="21"/>
      <c r="F298" s="3"/>
      <c r="G298" s="3"/>
      <c r="H298" s="3"/>
      <c r="I298" s="3"/>
      <c r="L298" s="10"/>
    </row>
    <row r="299">
      <c r="B299" s="21"/>
      <c r="F299" s="3"/>
      <c r="G299" s="3"/>
      <c r="H299" s="3"/>
      <c r="I299" s="3"/>
      <c r="L299" s="10"/>
    </row>
    <row r="300">
      <c r="B300" s="21"/>
      <c r="F300" s="3"/>
      <c r="G300" s="3"/>
      <c r="H300" s="3"/>
      <c r="I300" s="3"/>
      <c r="L300" s="10"/>
    </row>
    <row r="301">
      <c r="B301" s="21"/>
      <c r="F301" s="3"/>
      <c r="G301" s="3"/>
      <c r="H301" s="3"/>
      <c r="I301" s="3"/>
      <c r="L301" s="10"/>
    </row>
    <row r="302">
      <c r="B302" s="21"/>
      <c r="F302" s="3"/>
      <c r="G302" s="3"/>
      <c r="H302" s="3"/>
      <c r="I302" s="3"/>
      <c r="L302" s="10"/>
    </row>
    <row r="303">
      <c r="B303" s="21"/>
      <c r="F303" s="3"/>
      <c r="G303" s="3"/>
      <c r="H303" s="3"/>
      <c r="I303" s="3"/>
      <c r="L303" s="10"/>
    </row>
    <row r="304">
      <c r="B304" s="21"/>
      <c r="F304" s="3"/>
      <c r="G304" s="3"/>
      <c r="H304" s="3"/>
      <c r="I304" s="3"/>
      <c r="L304" s="10"/>
    </row>
    <row r="305">
      <c r="B305" s="21"/>
      <c r="F305" s="3"/>
      <c r="G305" s="3"/>
      <c r="H305" s="3"/>
      <c r="I305" s="3"/>
      <c r="L305" s="10"/>
    </row>
    <row r="306">
      <c r="B306" s="21"/>
      <c r="F306" s="3"/>
      <c r="G306" s="3"/>
      <c r="H306" s="3"/>
      <c r="I306" s="3"/>
      <c r="L306" s="10"/>
    </row>
    <row r="307">
      <c r="B307" s="21"/>
      <c r="F307" s="3"/>
      <c r="G307" s="3"/>
      <c r="H307" s="3"/>
      <c r="I307" s="3"/>
      <c r="L307" s="10"/>
    </row>
    <row r="308">
      <c r="B308" s="21"/>
      <c r="F308" s="3"/>
      <c r="G308" s="3"/>
      <c r="H308" s="3"/>
      <c r="I308" s="3"/>
      <c r="L308" s="10"/>
    </row>
    <row r="309">
      <c r="B309" s="21"/>
      <c r="F309" s="3"/>
      <c r="G309" s="3"/>
      <c r="H309" s="3"/>
      <c r="I309" s="3"/>
      <c r="L309" s="10"/>
    </row>
    <row r="310">
      <c r="B310" s="21"/>
      <c r="F310" s="3"/>
      <c r="G310" s="3"/>
      <c r="H310" s="3"/>
      <c r="I310" s="3"/>
      <c r="L310" s="10"/>
    </row>
    <row r="311">
      <c r="B311" s="21"/>
      <c r="F311" s="3"/>
      <c r="G311" s="3"/>
      <c r="H311" s="3"/>
      <c r="I311" s="3"/>
      <c r="L311" s="10"/>
    </row>
    <row r="312">
      <c r="B312" s="21"/>
      <c r="F312" s="3"/>
      <c r="G312" s="3"/>
      <c r="H312" s="3"/>
      <c r="I312" s="3"/>
      <c r="L312" s="10"/>
    </row>
    <row r="313">
      <c r="B313" s="21"/>
      <c r="F313" s="3"/>
      <c r="G313" s="3"/>
      <c r="H313" s="3"/>
      <c r="I313" s="3"/>
      <c r="L313" s="10"/>
    </row>
    <row r="314">
      <c r="B314" s="21"/>
      <c r="F314" s="3"/>
      <c r="G314" s="3"/>
      <c r="H314" s="3"/>
      <c r="I314" s="3"/>
      <c r="L314" s="10"/>
    </row>
    <row r="315">
      <c r="B315" s="21"/>
      <c r="F315" s="3"/>
      <c r="G315" s="3"/>
      <c r="H315" s="3"/>
      <c r="I315" s="3"/>
      <c r="L315" s="10"/>
    </row>
    <row r="316">
      <c r="B316" s="21"/>
      <c r="F316" s="3"/>
      <c r="G316" s="3"/>
      <c r="H316" s="3"/>
      <c r="I316" s="3"/>
      <c r="L316" s="10"/>
    </row>
    <row r="317">
      <c r="B317" s="21"/>
      <c r="F317" s="3"/>
      <c r="G317" s="3"/>
      <c r="H317" s="3"/>
      <c r="I317" s="3"/>
      <c r="L317" s="10"/>
    </row>
    <row r="318">
      <c r="B318" s="21"/>
      <c r="F318" s="3"/>
      <c r="G318" s="3"/>
      <c r="H318" s="3"/>
      <c r="I318" s="3"/>
      <c r="L318" s="10"/>
    </row>
    <row r="319">
      <c r="B319" s="21"/>
      <c r="F319" s="3"/>
      <c r="G319" s="3"/>
      <c r="H319" s="3"/>
      <c r="I319" s="3"/>
      <c r="L319" s="10"/>
    </row>
    <row r="320">
      <c r="B320" s="21"/>
      <c r="F320" s="3"/>
      <c r="G320" s="3"/>
      <c r="H320" s="3"/>
      <c r="I320" s="3"/>
      <c r="L320" s="10"/>
    </row>
    <row r="321">
      <c r="B321" s="21"/>
      <c r="F321" s="3"/>
      <c r="G321" s="3"/>
      <c r="H321" s="3"/>
      <c r="I321" s="3"/>
      <c r="L321" s="10"/>
    </row>
    <row r="322">
      <c r="B322" s="21"/>
      <c r="F322" s="3"/>
      <c r="G322" s="3"/>
      <c r="H322" s="3"/>
      <c r="I322" s="3"/>
      <c r="L322" s="10"/>
    </row>
    <row r="323">
      <c r="B323" s="21"/>
      <c r="F323" s="3"/>
      <c r="G323" s="3"/>
      <c r="H323" s="3"/>
      <c r="I323" s="3"/>
      <c r="L323" s="10"/>
    </row>
    <row r="324">
      <c r="B324" s="21"/>
      <c r="F324" s="3"/>
      <c r="G324" s="3"/>
      <c r="H324" s="3"/>
      <c r="I324" s="3"/>
      <c r="L324" s="10"/>
    </row>
    <row r="325">
      <c r="B325" s="21"/>
      <c r="F325" s="3"/>
      <c r="G325" s="3"/>
      <c r="H325" s="3"/>
      <c r="I325" s="3"/>
      <c r="L325" s="10"/>
    </row>
    <row r="326">
      <c r="B326" s="21"/>
      <c r="F326" s="3"/>
      <c r="G326" s="3"/>
      <c r="H326" s="3"/>
      <c r="I326" s="3"/>
      <c r="L326" s="10"/>
    </row>
    <row r="327">
      <c r="B327" s="21"/>
      <c r="F327" s="3"/>
      <c r="G327" s="3"/>
      <c r="H327" s="3"/>
      <c r="I327" s="3"/>
      <c r="L327" s="10"/>
    </row>
    <row r="328">
      <c r="B328" s="21"/>
      <c r="F328" s="3"/>
      <c r="G328" s="3"/>
      <c r="H328" s="3"/>
      <c r="I328" s="3"/>
      <c r="L328" s="10"/>
    </row>
    <row r="329">
      <c r="B329" s="21"/>
      <c r="F329" s="3"/>
      <c r="G329" s="3"/>
      <c r="H329" s="3"/>
      <c r="I329" s="3"/>
      <c r="L329" s="10"/>
    </row>
    <row r="330">
      <c r="B330" s="21"/>
      <c r="F330" s="3"/>
      <c r="G330" s="3"/>
      <c r="H330" s="3"/>
      <c r="I330" s="3"/>
      <c r="L330" s="10"/>
    </row>
    <row r="331">
      <c r="B331" s="21"/>
      <c r="F331" s="3"/>
      <c r="G331" s="3"/>
      <c r="H331" s="3"/>
      <c r="I331" s="3"/>
      <c r="L331" s="10"/>
    </row>
    <row r="332">
      <c r="B332" s="21"/>
      <c r="F332" s="3"/>
      <c r="G332" s="3"/>
      <c r="H332" s="3"/>
      <c r="I332" s="3"/>
      <c r="L332" s="10"/>
    </row>
    <row r="333">
      <c r="B333" s="21"/>
      <c r="F333" s="3"/>
      <c r="G333" s="3"/>
      <c r="H333" s="3"/>
      <c r="I333" s="3"/>
      <c r="L333" s="10"/>
    </row>
    <row r="334">
      <c r="B334" s="21"/>
      <c r="F334" s="3"/>
      <c r="G334" s="3"/>
      <c r="H334" s="3"/>
      <c r="I334" s="3"/>
      <c r="L334" s="10"/>
    </row>
    <row r="335">
      <c r="B335" s="21"/>
      <c r="F335" s="3"/>
      <c r="G335" s="3"/>
      <c r="H335" s="3"/>
      <c r="I335" s="3"/>
      <c r="L335" s="10"/>
    </row>
    <row r="336">
      <c r="B336" s="21"/>
      <c r="F336" s="3"/>
      <c r="G336" s="3"/>
      <c r="H336" s="3"/>
      <c r="I336" s="3"/>
      <c r="L336" s="10"/>
    </row>
    <row r="337">
      <c r="B337" s="21"/>
      <c r="F337" s="3"/>
      <c r="G337" s="3"/>
      <c r="H337" s="3"/>
      <c r="I337" s="3"/>
      <c r="L337" s="10"/>
    </row>
    <row r="338">
      <c r="B338" s="21"/>
      <c r="F338" s="3"/>
      <c r="G338" s="3"/>
      <c r="H338" s="3"/>
      <c r="I338" s="3"/>
      <c r="L338" s="10"/>
    </row>
    <row r="339">
      <c r="B339" s="21"/>
      <c r="F339" s="3"/>
      <c r="G339" s="3"/>
      <c r="H339" s="3"/>
      <c r="I339" s="3"/>
      <c r="L339" s="10"/>
    </row>
    <row r="340">
      <c r="B340" s="21"/>
      <c r="F340" s="3"/>
      <c r="G340" s="3"/>
      <c r="H340" s="3"/>
      <c r="I340" s="3"/>
      <c r="L340" s="10"/>
    </row>
    <row r="341">
      <c r="B341" s="21"/>
      <c r="F341" s="3"/>
      <c r="G341" s="3"/>
      <c r="H341" s="3"/>
      <c r="I341" s="3"/>
      <c r="L341" s="10"/>
    </row>
    <row r="342">
      <c r="B342" s="21"/>
      <c r="F342" s="3"/>
      <c r="G342" s="3"/>
      <c r="H342" s="3"/>
      <c r="I342" s="3"/>
      <c r="L342" s="10"/>
    </row>
    <row r="343">
      <c r="B343" s="21"/>
      <c r="F343" s="3"/>
      <c r="G343" s="3"/>
      <c r="H343" s="3"/>
      <c r="I343" s="3"/>
      <c r="L343" s="10"/>
    </row>
    <row r="344">
      <c r="B344" s="21"/>
      <c r="F344" s="3"/>
      <c r="G344" s="3"/>
      <c r="H344" s="3"/>
      <c r="I344" s="3"/>
      <c r="L344" s="10"/>
    </row>
    <row r="345">
      <c r="B345" s="21"/>
      <c r="F345" s="3"/>
      <c r="G345" s="3"/>
      <c r="H345" s="3"/>
      <c r="I345" s="3"/>
      <c r="L345" s="10"/>
    </row>
    <row r="346">
      <c r="B346" s="21"/>
      <c r="F346" s="3"/>
      <c r="G346" s="3"/>
      <c r="H346" s="3"/>
      <c r="I346" s="3"/>
      <c r="L346" s="10"/>
    </row>
    <row r="347">
      <c r="B347" s="21"/>
      <c r="F347" s="3"/>
      <c r="G347" s="3"/>
      <c r="H347" s="3"/>
      <c r="I347" s="3"/>
      <c r="L347" s="10"/>
    </row>
    <row r="348">
      <c r="B348" s="21"/>
      <c r="F348" s="3"/>
      <c r="G348" s="3"/>
      <c r="H348" s="3"/>
      <c r="I348" s="3"/>
      <c r="L348" s="10"/>
    </row>
    <row r="349">
      <c r="B349" s="21"/>
      <c r="F349" s="3"/>
      <c r="G349" s="3"/>
      <c r="H349" s="3"/>
      <c r="I349" s="3"/>
      <c r="L349" s="10"/>
    </row>
    <row r="350">
      <c r="B350" s="21"/>
      <c r="F350" s="3"/>
      <c r="G350" s="3"/>
      <c r="H350" s="3"/>
      <c r="I350" s="3"/>
      <c r="L350" s="10"/>
    </row>
    <row r="351">
      <c r="B351" s="21"/>
      <c r="F351" s="3"/>
      <c r="G351" s="3"/>
      <c r="H351" s="3"/>
      <c r="I351" s="3"/>
      <c r="L351" s="10"/>
    </row>
    <row r="352">
      <c r="B352" s="21"/>
      <c r="F352" s="3"/>
      <c r="G352" s="3"/>
      <c r="H352" s="3"/>
      <c r="I352" s="3"/>
      <c r="L352" s="10"/>
    </row>
    <row r="353">
      <c r="B353" s="21"/>
      <c r="F353" s="3"/>
      <c r="G353" s="3"/>
      <c r="H353" s="3"/>
      <c r="I353" s="3"/>
      <c r="L353" s="10"/>
    </row>
    <row r="354">
      <c r="B354" s="21"/>
      <c r="F354" s="3"/>
      <c r="G354" s="3"/>
      <c r="H354" s="3"/>
      <c r="I354" s="3"/>
      <c r="L354" s="10"/>
    </row>
    <row r="355">
      <c r="B355" s="21"/>
      <c r="F355" s="3"/>
      <c r="G355" s="3"/>
      <c r="H355" s="3"/>
      <c r="I355" s="3"/>
      <c r="L355" s="10"/>
    </row>
    <row r="356">
      <c r="B356" s="21"/>
      <c r="F356" s="3"/>
      <c r="G356" s="3"/>
      <c r="H356" s="3"/>
      <c r="I356" s="3"/>
      <c r="L356" s="10"/>
    </row>
    <row r="357">
      <c r="B357" s="21"/>
      <c r="F357" s="3"/>
      <c r="G357" s="3"/>
      <c r="H357" s="3"/>
      <c r="I357" s="3"/>
      <c r="L357" s="10"/>
    </row>
    <row r="358">
      <c r="B358" s="21"/>
      <c r="F358" s="3"/>
      <c r="G358" s="3"/>
      <c r="H358" s="3"/>
      <c r="I358" s="3"/>
      <c r="L358" s="10"/>
    </row>
    <row r="359">
      <c r="B359" s="21"/>
      <c r="F359" s="3"/>
      <c r="G359" s="3"/>
      <c r="H359" s="3"/>
      <c r="I359" s="3"/>
      <c r="L359" s="10"/>
    </row>
    <row r="360">
      <c r="B360" s="21"/>
      <c r="F360" s="3"/>
      <c r="G360" s="3"/>
      <c r="H360" s="3"/>
      <c r="I360" s="3"/>
      <c r="L360" s="10"/>
    </row>
    <row r="361">
      <c r="B361" s="21"/>
      <c r="F361" s="3"/>
      <c r="G361" s="3"/>
      <c r="H361" s="3"/>
      <c r="I361" s="3"/>
      <c r="L361" s="10"/>
    </row>
    <row r="362">
      <c r="B362" s="21"/>
      <c r="F362" s="3"/>
      <c r="G362" s="3"/>
      <c r="H362" s="3"/>
      <c r="I362" s="3"/>
      <c r="L362" s="10"/>
    </row>
    <row r="363">
      <c r="B363" s="21"/>
      <c r="F363" s="3"/>
      <c r="G363" s="3"/>
      <c r="H363" s="3"/>
      <c r="I363" s="3"/>
      <c r="L363" s="10"/>
    </row>
    <row r="364">
      <c r="B364" s="21"/>
      <c r="F364" s="3"/>
      <c r="G364" s="3"/>
      <c r="H364" s="3"/>
      <c r="I364" s="3"/>
      <c r="L364" s="10"/>
    </row>
    <row r="365">
      <c r="B365" s="21"/>
      <c r="F365" s="3"/>
      <c r="G365" s="3"/>
      <c r="H365" s="3"/>
      <c r="I365" s="3"/>
      <c r="L365" s="10"/>
    </row>
    <row r="366">
      <c r="B366" s="21"/>
      <c r="F366" s="3"/>
      <c r="G366" s="3"/>
      <c r="H366" s="3"/>
      <c r="I366" s="3"/>
      <c r="L366" s="10"/>
    </row>
    <row r="367">
      <c r="B367" s="21"/>
      <c r="F367" s="3"/>
      <c r="G367" s="3"/>
      <c r="H367" s="3"/>
      <c r="I367" s="3"/>
      <c r="L367" s="10"/>
    </row>
    <row r="368">
      <c r="B368" s="21"/>
      <c r="F368" s="3"/>
      <c r="G368" s="3"/>
      <c r="H368" s="3"/>
      <c r="I368" s="3"/>
      <c r="L368" s="10"/>
    </row>
    <row r="369">
      <c r="B369" s="21"/>
      <c r="F369" s="3"/>
      <c r="G369" s="3"/>
      <c r="H369" s="3"/>
      <c r="I369" s="3"/>
      <c r="L369" s="10"/>
    </row>
    <row r="370">
      <c r="B370" s="21"/>
      <c r="F370" s="3"/>
      <c r="G370" s="3"/>
      <c r="H370" s="3"/>
      <c r="I370" s="3"/>
      <c r="L370" s="10"/>
    </row>
    <row r="371">
      <c r="B371" s="21"/>
      <c r="F371" s="3"/>
      <c r="G371" s="3"/>
      <c r="H371" s="3"/>
      <c r="I371" s="3"/>
      <c r="L371" s="10"/>
    </row>
    <row r="372">
      <c r="B372" s="21"/>
      <c r="F372" s="3"/>
      <c r="G372" s="3"/>
      <c r="H372" s="3"/>
      <c r="I372" s="3"/>
      <c r="L372" s="10"/>
    </row>
    <row r="373">
      <c r="B373" s="21"/>
      <c r="F373" s="3"/>
      <c r="G373" s="3"/>
      <c r="H373" s="3"/>
      <c r="I373" s="3"/>
      <c r="L373" s="10"/>
    </row>
    <row r="374">
      <c r="B374" s="21"/>
      <c r="F374" s="3"/>
      <c r="G374" s="3"/>
      <c r="H374" s="3"/>
      <c r="I374" s="3"/>
      <c r="L374" s="10"/>
    </row>
    <row r="375">
      <c r="B375" s="21"/>
      <c r="F375" s="3"/>
      <c r="G375" s="3"/>
      <c r="H375" s="3"/>
      <c r="I375" s="3"/>
      <c r="L375" s="10"/>
    </row>
    <row r="376">
      <c r="B376" s="21"/>
      <c r="F376" s="3"/>
      <c r="G376" s="3"/>
      <c r="H376" s="3"/>
      <c r="I376" s="3"/>
      <c r="L376" s="10"/>
    </row>
    <row r="377">
      <c r="B377" s="21"/>
      <c r="F377" s="3"/>
      <c r="G377" s="3"/>
      <c r="H377" s="3"/>
      <c r="I377" s="3"/>
      <c r="L377" s="10"/>
    </row>
    <row r="378">
      <c r="B378" s="21"/>
      <c r="F378" s="3"/>
      <c r="G378" s="3"/>
      <c r="H378" s="3"/>
      <c r="I378" s="3"/>
      <c r="L378" s="10"/>
    </row>
    <row r="379">
      <c r="B379" s="21"/>
      <c r="F379" s="3"/>
      <c r="G379" s="3"/>
      <c r="H379" s="3"/>
      <c r="I379" s="3"/>
      <c r="L379" s="10"/>
    </row>
    <row r="380">
      <c r="B380" s="21"/>
      <c r="F380" s="3"/>
      <c r="G380" s="3"/>
      <c r="H380" s="3"/>
      <c r="I380" s="3"/>
      <c r="L380" s="10"/>
    </row>
    <row r="381">
      <c r="B381" s="21"/>
      <c r="F381" s="3"/>
      <c r="G381" s="3"/>
      <c r="H381" s="3"/>
      <c r="I381" s="3"/>
      <c r="L381" s="10"/>
    </row>
    <row r="382">
      <c r="B382" s="21"/>
      <c r="F382" s="3"/>
      <c r="G382" s="3"/>
      <c r="H382" s="3"/>
      <c r="I382" s="3"/>
      <c r="L382" s="10"/>
    </row>
    <row r="383">
      <c r="B383" s="21"/>
      <c r="F383" s="3"/>
      <c r="G383" s="3"/>
      <c r="H383" s="3"/>
      <c r="I383" s="3"/>
      <c r="L383" s="10"/>
    </row>
    <row r="384">
      <c r="B384" s="21"/>
      <c r="F384" s="3"/>
      <c r="G384" s="3"/>
      <c r="H384" s="3"/>
      <c r="I384" s="3"/>
      <c r="L384" s="10"/>
    </row>
    <row r="385">
      <c r="B385" s="21"/>
      <c r="F385" s="3"/>
      <c r="G385" s="3"/>
      <c r="H385" s="3"/>
      <c r="I385" s="3"/>
      <c r="L385" s="10"/>
    </row>
    <row r="386">
      <c r="B386" s="21"/>
      <c r="F386" s="3"/>
      <c r="G386" s="3"/>
      <c r="H386" s="3"/>
      <c r="I386" s="3"/>
      <c r="L386" s="10"/>
    </row>
    <row r="387">
      <c r="B387" s="21"/>
      <c r="F387" s="3"/>
      <c r="G387" s="3"/>
      <c r="H387" s="3"/>
      <c r="I387" s="3"/>
      <c r="L387" s="10"/>
    </row>
    <row r="388">
      <c r="B388" s="21"/>
      <c r="F388" s="3"/>
      <c r="G388" s="3"/>
      <c r="H388" s="3"/>
      <c r="I388" s="3"/>
      <c r="L388" s="10"/>
    </row>
    <row r="389">
      <c r="B389" s="21"/>
      <c r="F389" s="3"/>
      <c r="G389" s="3"/>
      <c r="H389" s="3"/>
      <c r="I389" s="3"/>
      <c r="L389" s="10"/>
    </row>
    <row r="390">
      <c r="B390" s="21"/>
      <c r="F390" s="3"/>
      <c r="G390" s="3"/>
      <c r="H390" s="3"/>
      <c r="I390" s="3"/>
      <c r="L390" s="10"/>
    </row>
    <row r="391">
      <c r="B391" s="21"/>
      <c r="F391" s="3"/>
      <c r="G391" s="3"/>
      <c r="H391" s="3"/>
      <c r="I391" s="3"/>
      <c r="L391" s="10"/>
    </row>
    <row r="392">
      <c r="B392" s="21"/>
      <c r="F392" s="3"/>
      <c r="G392" s="3"/>
      <c r="H392" s="3"/>
      <c r="I392" s="3"/>
      <c r="L392" s="10"/>
    </row>
    <row r="393">
      <c r="B393" s="21"/>
      <c r="F393" s="3"/>
      <c r="G393" s="3"/>
      <c r="H393" s="3"/>
      <c r="I393" s="3"/>
      <c r="L393" s="10"/>
    </row>
    <row r="394">
      <c r="B394" s="21"/>
      <c r="F394" s="3"/>
      <c r="G394" s="3"/>
      <c r="H394" s="3"/>
      <c r="I394" s="3"/>
      <c r="L394" s="10"/>
    </row>
    <row r="395">
      <c r="B395" s="21"/>
      <c r="F395" s="3"/>
      <c r="G395" s="3"/>
      <c r="H395" s="3"/>
      <c r="I395" s="3"/>
      <c r="L395" s="10"/>
    </row>
    <row r="396">
      <c r="B396" s="21"/>
      <c r="F396" s="3"/>
      <c r="G396" s="3"/>
      <c r="H396" s="3"/>
      <c r="I396" s="3"/>
      <c r="L396" s="10"/>
    </row>
    <row r="397">
      <c r="B397" s="21"/>
      <c r="F397" s="3"/>
      <c r="G397" s="3"/>
      <c r="H397" s="3"/>
      <c r="I397" s="3"/>
      <c r="L397" s="10"/>
    </row>
    <row r="398">
      <c r="B398" s="21"/>
      <c r="F398" s="3"/>
      <c r="G398" s="3"/>
      <c r="H398" s="3"/>
      <c r="I398" s="3"/>
      <c r="L398" s="10"/>
    </row>
    <row r="399">
      <c r="B399" s="21"/>
      <c r="F399" s="3"/>
      <c r="G399" s="3"/>
      <c r="H399" s="3"/>
      <c r="I399" s="3"/>
      <c r="L399" s="10"/>
    </row>
    <row r="400">
      <c r="B400" s="21"/>
      <c r="F400" s="3"/>
      <c r="G400" s="3"/>
      <c r="H400" s="3"/>
      <c r="I400" s="3"/>
      <c r="L400" s="10"/>
    </row>
    <row r="401">
      <c r="B401" s="21"/>
      <c r="F401" s="3"/>
      <c r="G401" s="3"/>
      <c r="H401" s="3"/>
      <c r="I401" s="3"/>
      <c r="L401" s="10"/>
    </row>
    <row r="402">
      <c r="B402" s="21"/>
      <c r="F402" s="3"/>
      <c r="G402" s="3"/>
      <c r="H402" s="3"/>
      <c r="I402" s="3"/>
      <c r="L402" s="10"/>
    </row>
    <row r="403">
      <c r="B403" s="21"/>
      <c r="F403" s="3"/>
      <c r="G403" s="3"/>
      <c r="H403" s="3"/>
      <c r="I403" s="3"/>
      <c r="L403" s="10"/>
    </row>
    <row r="404">
      <c r="B404" s="21"/>
      <c r="F404" s="3"/>
      <c r="G404" s="3"/>
      <c r="H404" s="3"/>
      <c r="I404" s="3"/>
      <c r="L404" s="10"/>
    </row>
    <row r="405">
      <c r="B405" s="21"/>
      <c r="F405" s="3"/>
      <c r="G405" s="3"/>
      <c r="H405" s="3"/>
      <c r="I405" s="3"/>
      <c r="L405" s="10"/>
    </row>
    <row r="406">
      <c r="B406" s="21"/>
      <c r="F406" s="3"/>
      <c r="G406" s="3"/>
      <c r="H406" s="3"/>
      <c r="I406" s="3"/>
      <c r="L406" s="10"/>
    </row>
    <row r="407">
      <c r="B407" s="21"/>
      <c r="F407" s="3"/>
      <c r="G407" s="3"/>
      <c r="H407" s="3"/>
      <c r="I407" s="3"/>
      <c r="L407" s="10"/>
    </row>
    <row r="408">
      <c r="B408" s="21"/>
      <c r="F408" s="3"/>
      <c r="G408" s="3"/>
      <c r="H408" s="3"/>
      <c r="I408" s="3"/>
      <c r="L408" s="10"/>
    </row>
    <row r="409">
      <c r="B409" s="21"/>
      <c r="F409" s="3"/>
      <c r="G409" s="3"/>
      <c r="H409" s="3"/>
      <c r="I409" s="3"/>
      <c r="L409" s="10"/>
    </row>
    <row r="410">
      <c r="B410" s="21"/>
      <c r="F410" s="3"/>
      <c r="G410" s="3"/>
      <c r="H410" s="3"/>
      <c r="I410" s="3"/>
      <c r="L410" s="10"/>
    </row>
    <row r="411">
      <c r="B411" s="21"/>
      <c r="F411" s="3"/>
      <c r="G411" s="3"/>
      <c r="H411" s="3"/>
      <c r="I411" s="3"/>
      <c r="L411" s="10"/>
    </row>
    <row r="412">
      <c r="B412" s="21"/>
      <c r="F412" s="3"/>
      <c r="G412" s="3"/>
      <c r="H412" s="3"/>
      <c r="I412" s="3"/>
      <c r="L412" s="10"/>
    </row>
    <row r="413">
      <c r="B413" s="21"/>
      <c r="F413" s="3"/>
      <c r="G413" s="3"/>
      <c r="H413" s="3"/>
      <c r="I413" s="3"/>
      <c r="L413" s="10"/>
    </row>
    <row r="414">
      <c r="B414" s="21"/>
      <c r="F414" s="3"/>
      <c r="G414" s="3"/>
      <c r="H414" s="3"/>
      <c r="I414" s="3"/>
      <c r="L414" s="10"/>
    </row>
    <row r="415">
      <c r="B415" s="21"/>
      <c r="F415" s="3"/>
      <c r="G415" s="3"/>
      <c r="H415" s="3"/>
      <c r="I415" s="3"/>
      <c r="L415" s="10"/>
    </row>
    <row r="416">
      <c r="B416" s="21"/>
      <c r="F416" s="3"/>
      <c r="G416" s="3"/>
      <c r="H416" s="3"/>
      <c r="I416" s="3"/>
      <c r="L416" s="10"/>
    </row>
    <row r="417">
      <c r="B417" s="21"/>
      <c r="F417" s="3"/>
      <c r="G417" s="3"/>
      <c r="H417" s="3"/>
      <c r="I417" s="3"/>
      <c r="L417" s="10"/>
    </row>
    <row r="418">
      <c r="B418" s="21"/>
      <c r="F418" s="3"/>
      <c r="G418" s="3"/>
      <c r="H418" s="3"/>
      <c r="I418" s="3"/>
      <c r="L418" s="10"/>
    </row>
    <row r="419">
      <c r="B419" s="21"/>
      <c r="F419" s="3"/>
      <c r="G419" s="3"/>
      <c r="H419" s="3"/>
      <c r="I419" s="3"/>
      <c r="L419" s="10"/>
    </row>
    <row r="420">
      <c r="B420" s="21"/>
      <c r="F420" s="3"/>
      <c r="G420" s="3"/>
      <c r="H420" s="3"/>
      <c r="I420" s="3"/>
      <c r="L420" s="10"/>
    </row>
    <row r="421">
      <c r="B421" s="21"/>
      <c r="F421" s="3"/>
      <c r="G421" s="3"/>
      <c r="H421" s="3"/>
      <c r="I421" s="3"/>
      <c r="L421" s="10"/>
    </row>
    <row r="422">
      <c r="B422" s="21"/>
      <c r="F422" s="3"/>
      <c r="G422" s="3"/>
      <c r="H422" s="3"/>
      <c r="I422" s="3"/>
      <c r="L422" s="10"/>
    </row>
    <row r="423">
      <c r="B423" s="21"/>
      <c r="F423" s="3"/>
      <c r="G423" s="3"/>
      <c r="H423" s="3"/>
      <c r="I423" s="3"/>
      <c r="L423" s="10"/>
    </row>
    <row r="424">
      <c r="B424" s="21"/>
      <c r="F424" s="3"/>
      <c r="G424" s="3"/>
      <c r="H424" s="3"/>
      <c r="I424" s="3"/>
      <c r="L424" s="10"/>
    </row>
    <row r="425">
      <c r="B425" s="21"/>
      <c r="F425" s="3"/>
      <c r="G425" s="3"/>
      <c r="H425" s="3"/>
      <c r="I425" s="3"/>
      <c r="L425" s="10"/>
    </row>
    <row r="426">
      <c r="B426" s="21"/>
      <c r="F426" s="3"/>
      <c r="G426" s="3"/>
      <c r="H426" s="3"/>
      <c r="I426" s="3"/>
      <c r="L426" s="10"/>
    </row>
    <row r="427">
      <c r="B427" s="21"/>
      <c r="F427" s="3"/>
      <c r="G427" s="3"/>
      <c r="H427" s="3"/>
      <c r="I427" s="3"/>
      <c r="L427" s="10"/>
    </row>
    <row r="428">
      <c r="B428" s="21"/>
      <c r="F428" s="3"/>
      <c r="G428" s="3"/>
      <c r="H428" s="3"/>
      <c r="I428" s="3"/>
      <c r="L428" s="10"/>
    </row>
    <row r="429">
      <c r="B429" s="21"/>
      <c r="F429" s="3"/>
      <c r="G429" s="3"/>
      <c r="H429" s="3"/>
      <c r="I429" s="3"/>
      <c r="L429" s="10"/>
    </row>
    <row r="430">
      <c r="B430" s="21"/>
      <c r="F430" s="3"/>
      <c r="G430" s="3"/>
      <c r="H430" s="3"/>
      <c r="I430" s="3"/>
      <c r="L430" s="10"/>
    </row>
    <row r="431">
      <c r="B431" s="21"/>
      <c r="F431" s="3"/>
      <c r="G431" s="3"/>
      <c r="H431" s="3"/>
      <c r="I431" s="3"/>
      <c r="L431" s="10"/>
    </row>
    <row r="432">
      <c r="B432" s="21"/>
      <c r="F432" s="3"/>
      <c r="G432" s="3"/>
      <c r="H432" s="3"/>
      <c r="I432" s="3"/>
      <c r="L432" s="10"/>
    </row>
    <row r="433">
      <c r="B433" s="21"/>
      <c r="F433" s="3"/>
      <c r="G433" s="3"/>
      <c r="H433" s="3"/>
      <c r="I433" s="3"/>
      <c r="L433" s="10"/>
    </row>
    <row r="434">
      <c r="B434" s="21"/>
      <c r="F434" s="3"/>
      <c r="G434" s="3"/>
      <c r="H434" s="3"/>
      <c r="I434" s="3"/>
      <c r="L434" s="10"/>
    </row>
    <row r="435">
      <c r="B435" s="21"/>
      <c r="F435" s="3"/>
      <c r="G435" s="3"/>
      <c r="H435" s="3"/>
      <c r="I435" s="3"/>
      <c r="L435" s="10"/>
    </row>
    <row r="436">
      <c r="B436" s="21"/>
      <c r="F436" s="3"/>
      <c r="G436" s="3"/>
      <c r="H436" s="3"/>
      <c r="I436" s="3"/>
      <c r="L436" s="10"/>
    </row>
    <row r="437">
      <c r="B437" s="21"/>
      <c r="F437" s="3"/>
      <c r="G437" s="3"/>
      <c r="H437" s="3"/>
      <c r="I437" s="3"/>
      <c r="L437" s="10"/>
    </row>
    <row r="438">
      <c r="B438" s="21"/>
      <c r="F438" s="3"/>
      <c r="G438" s="3"/>
      <c r="H438" s="3"/>
      <c r="I438" s="3"/>
      <c r="L438" s="10"/>
    </row>
    <row r="439">
      <c r="B439" s="21"/>
      <c r="F439" s="3"/>
      <c r="G439" s="3"/>
      <c r="H439" s="3"/>
      <c r="I439" s="3"/>
      <c r="L439" s="10"/>
    </row>
    <row r="440">
      <c r="B440" s="21"/>
      <c r="F440" s="3"/>
      <c r="G440" s="3"/>
      <c r="H440" s="3"/>
      <c r="I440" s="3"/>
      <c r="L440" s="10"/>
    </row>
    <row r="441">
      <c r="B441" s="21"/>
      <c r="F441" s="3"/>
      <c r="G441" s="3"/>
      <c r="H441" s="3"/>
      <c r="I441" s="3"/>
      <c r="L441" s="10"/>
    </row>
    <row r="442">
      <c r="B442" s="21"/>
      <c r="F442" s="3"/>
      <c r="G442" s="3"/>
      <c r="H442" s="3"/>
      <c r="I442" s="3"/>
      <c r="L442" s="10"/>
    </row>
    <row r="443">
      <c r="B443" s="21"/>
      <c r="F443" s="3"/>
      <c r="G443" s="3"/>
      <c r="H443" s="3"/>
      <c r="I443" s="3"/>
      <c r="L443" s="10"/>
    </row>
    <row r="444">
      <c r="B444" s="21"/>
      <c r="F444" s="3"/>
      <c r="G444" s="3"/>
      <c r="H444" s="3"/>
      <c r="I444" s="3"/>
      <c r="L444" s="10"/>
    </row>
    <row r="445">
      <c r="B445" s="21"/>
      <c r="F445" s="3"/>
      <c r="G445" s="3"/>
      <c r="H445" s="3"/>
      <c r="I445" s="3"/>
      <c r="L445" s="10"/>
    </row>
    <row r="446">
      <c r="B446" s="21"/>
      <c r="F446" s="3"/>
      <c r="G446" s="3"/>
      <c r="H446" s="3"/>
      <c r="I446" s="3"/>
      <c r="L446" s="10"/>
    </row>
    <row r="447">
      <c r="B447" s="21"/>
      <c r="F447" s="3"/>
      <c r="G447" s="3"/>
      <c r="H447" s="3"/>
      <c r="I447" s="3"/>
      <c r="L447" s="10"/>
    </row>
    <row r="448">
      <c r="B448" s="21"/>
      <c r="F448" s="3"/>
      <c r="G448" s="3"/>
      <c r="H448" s="3"/>
      <c r="I448" s="3"/>
      <c r="L448" s="10"/>
    </row>
    <row r="449">
      <c r="B449" s="21"/>
      <c r="F449" s="3"/>
      <c r="G449" s="3"/>
      <c r="H449" s="3"/>
      <c r="I449" s="3"/>
      <c r="L449" s="10"/>
    </row>
    <row r="450">
      <c r="B450" s="21"/>
      <c r="F450" s="3"/>
      <c r="G450" s="3"/>
      <c r="H450" s="3"/>
      <c r="I450" s="3"/>
      <c r="L450" s="10"/>
    </row>
    <row r="451">
      <c r="B451" s="21"/>
      <c r="F451" s="3"/>
      <c r="G451" s="3"/>
      <c r="H451" s="3"/>
      <c r="I451" s="3"/>
      <c r="L451" s="10"/>
    </row>
    <row r="452">
      <c r="B452" s="21"/>
      <c r="F452" s="3"/>
      <c r="G452" s="3"/>
      <c r="H452" s="3"/>
      <c r="I452" s="3"/>
      <c r="L452" s="10"/>
    </row>
    <row r="453">
      <c r="B453" s="21"/>
      <c r="F453" s="3"/>
      <c r="G453" s="3"/>
      <c r="H453" s="3"/>
      <c r="I453" s="3"/>
      <c r="L453" s="10"/>
    </row>
    <row r="454">
      <c r="B454" s="21"/>
      <c r="F454" s="3"/>
      <c r="G454" s="3"/>
      <c r="H454" s="3"/>
      <c r="I454" s="3"/>
      <c r="L454" s="10"/>
    </row>
    <row r="455">
      <c r="B455" s="21"/>
      <c r="F455" s="3"/>
      <c r="G455" s="3"/>
      <c r="H455" s="3"/>
      <c r="I455" s="3"/>
      <c r="L455" s="10"/>
    </row>
    <row r="456">
      <c r="B456" s="21"/>
      <c r="F456" s="3"/>
      <c r="G456" s="3"/>
      <c r="H456" s="3"/>
      <c r="I456" s="3"/>
      <c r="L456" s="10"/>
    </row>
    <row r="457">
      <c r="B457" s="21"/>
      <c r="F457" s="3"/>
      <c r="G457" s="3"/>
      <c r="H457" s="3"/>
      <c r="I457" s="3"/>
      <c r="L457" s="10"/>
    </row>
    <row r="458">
      <c r="B458" s="21"/>
      <c r="F458" s="3"/>
      <c r="G458" s="3"/>
      <c r="H458" s="3"/>
      <c r="I458" s="3"/>
      <c r="L458" s="10"/>
    </row>
    <row r="459">
      <c r="B459" s="21"/>
      <c r="F459" s="3"/>
      <c r="G459" s="3"/>
      <c r="H459" s="3"/>
      <c r="I459" s="3"/>
      <c r="L459" s="10"/>
    </row>
    <row r="460">
      <c r="B460" s="21"/>
      <c r="F460" s="3"/>
      <c r="G460" s="3"/>
      <c r="H460" s="3"/>
      <c r="I460" s="3"/>
      <c r="L460" s="10"/>
    </row>
    <row r="461">
      <c r="B461" s="21"/>
      <c r="F461" s="3"/>
      <c r="G461" s="3"/>
      <c r="H461" s="3"/>
      <c r="I461" s="3"/>
      <c r="L461" s="10"/>
    </row>
    <row r="462">
      <c r="B462" s="21"/>
      <c r="F462" s="3"/>
      <c r="G462" s="3"/>
      <c r="H462" s="3"/>
      <c r="I462" s="3"/>
      <c r="L462" s="10"/>
    </row>
    <row r="463">
      <c r="B463" s="21"/>
      <c r="F463" s="3"/>
      <c r="G463" s="3"/>
      <c r="H463" s="3"/>
      <c r="I463" s="3"/>
      <c r="L463" s="10"/>
    </row>
    <row r="464">
      <c r="B464" s="21"/>
      <c r="F464" s="3"/>
      <c r="G464" s="3"/>
      <c r="H464" s="3"/>
      <c r="I464" s="3"/>
      <c r="L464" s="10"/>
    </row>
    <row r="465">
      <c r="B465" s="21"/>
      <c r="F465" s="3"/>
      <c r="G465" s="3"/>
      <c r="H465" s="3"/>
      <c r="I465" s="3"/>
      <c r="L465" s="10"/>
    </row>
    <row r="466">
      <c r="B466" s="21"/>
      <c r="F466" s="3"/>
      <c r="G466" s="3"/>
      <c r="H466" s="3"/>
      <c r="I466" s="3"/>
      <c r="L466" s="10"/>
    </row>
    <row r="467">
      <c r="B467" s="21"/>
      <c r="F467" s="3"/>
      <c r="G467" s="3"/>
      <c r="H467" s="3"/>
      <c r="I467" s="3"/>
      <c r="L467" s="10"/>
    </row>
    <row r="468">
      <c r="B468" s="21"/>
      <c r="F468" s="3"/>
      <c r="G468" s="3"/>
      <c r="H468" s="3"/>
      <c r="I468" s="3"/>
      <c r="L468" s="10"/>
    </row>
    <row r="469">
      <c r="B469" s="21"/>
      <c r="F469" s="3"/>
      <c r="G469" s="3"/>
      <c r="H469" s="3"/>
      <c r="I469" s="3"/>
      <c r="L469" s="10"/>
    </row>
    <row r="470">
      <c r="B470" s="21"/>
      <c r="F470" s="3"/>
      <c r="G470" s="3"/>
      <c r="H470" s="3"/>
      <c r="I470" s="3"/>
      <c r="L470" s="10"/>
    </row>
    <row r="471">
      <c r="B471" s="21"/>
      <c r="F471" s="3"/>
      <c r="G471" s="3"/>
      <c r="H471" s="3"/>
      <c r="I471" s="3"/>
      <c r="L471" s="10"/>
    </row>
    <row r="472">
      <c r="B472" s="21"/>
      <c r="F472" s="3"/>
      <c r="G472" s="3"/>
      <c r="H472" s="3"/>
      <c r="I472" s="3"/>
      <c r="L472" s="10"/>
    </row>
    <row r="473">
      <c r="B473" s="21"/>
      <c r="F473" s="3"/>
      <c r="G473" s="3"/>
      <c r="H473" s="3"/>
      <c r="I473" s="3"/>
      <c r="L473" s="10"/>
    </row>
    <row r="474">
      <c r="B474" s="21"/>
      <c r="F474" s="3"/>
      <c r="G474" s="3"/>
      <c r="H474" s="3"/>
      <c r="I474" s="3"/>
      <c r="L474" s="10"/>
    </row>
    <row r="475">
      <c r="B475" s="21"/>
      <c r="F475" s="3"/>
      <c r="G475" s="3"/>
      <c r="H475" s="3"/>
      <c r="I475" s="3"/>
      <c r="L475" s="10"/>
    </row>
    <row r="476">
      <c r="B476" s="21"/>
      <c r="F476" s="3"/>
      <c r="G476" s="3"/>
      <c r="H476" s="3"/>
      <c r="I476" s="3"/>
      <c r="L476" s="10"/>
    </row>
    <row r="477">
      <c r="B477" s="21"/>
      <c r="F477" s="3"/>
      <c r="G477" s="3"/>
      <c r="H477" s="3"/>
      <c r="I477" s="3"/>
      <c r="L477" s="10"/>
    </row>
    <row r="478">
      <c r="B478" s="21"/>
      <c r="F478" s="3"/>
      <c r="G478" s="3"/>
      <c r="H478" s="3"/>
      <c r="I478" s="3"/>
      <c r="L478" s="10"/>
    </row>
    <row r="479">
      <c r="B479" s="21"/>
      <c r="F479" s="3"/>
      <c r="G479" s="3"/>
      <c r="H479" s="3"/>
      <c r="I479" s="3"/>
      <c r="L479" s="10"/>
    </row>
    <row r="480">
      <c r="B480" s="21"/>
      <c r="F480" s="3"/>
      <c r="G480" s="3"/>
      <c r="H480" s="3"/>
      <c r="I480" s="3"/>
      <c r="L480" s="10"/>
    </row>
    <row r="481">
      <c r="B481" s="21"/>
      <c r="F481" s="3"/>
      <c r="G481" s="3"/>
      <c r="H481" s="3"/>
      <c r="I481" s="3"/>
      <c r="L481" s="10"/>
    </row>
    <row r="482">
      <c r="B482" s="21"/>
      <c r="F482" s="3"/>
      <c r="G482" s="3"/>
      <c r="H482" s="3"/>
      <c r="I482" s="3"/>
      <c r="L482" s="10"/>
    </row>
    <row r="483">
      <c r="B483" s="21"/>
      <c r="F483" s="3"/>
      <c r="G483" s="3"/>
      <c r="H483" s="3"/>
      <c r="I483" s="3"/>
      <c r="L483" s="10"/>
    </row>
    <row r="484">
      <c r="B484" s="21"/>
      <c r="F484" s="3"/>
      <c r="G484" s="3"/>
      <c r="H484" s="3"/>
      <c r="I484" s="3"/>
      <c r="L484" s="10"/>
    </row>
    <row r="485">
      <c r="B485" s="21"/>
      <c r="F485" s="3"/>
      <c r="G485" s="3"/>
      <c r="H485" s="3"/>
      <c r="I485" s="3"/>
      <c r="L485" s="10"/>
    </row>
    <row r="486">
      <c r="B486" s="21"/>
      <c r="F486" s="3"/>
      <c r="G486" s="3"/>
      <c r="H486" s="3"/>
      <c r="I486" s="3"/>
      <c r="L486" s="10"/>
    </row>
    <row r="487">
      <c r="B487" s="21"/>
      <c r="F487" s="3"/>
      <c r="G487" s="3"/>
      <c r="H487" s="3"/>
      <c r="I487" s="3"/>
      <c r="L487" s="10"/>
    </row>
    <row r="488">
      <c r="B488" s="21"/>
      <c r="F488" s="3"/>
      <c r="G488" s="3"/>
      <c r="H488" s="3"/>
      <c r="I488" s="3"/>
      <c r="L488" s="10"/>
    </row>
    <row r="489">
      <c r="B489" s="21"/>
      <c r="F489" s="3"/>
      <c r="G489" s="3"/>
      <c r="H489" s="3"/>
      <c r="I489" s="3"/>
      <c r="L489" s="10"/>
    </row>
    <row r="490">
      <c r="B490" s="21"/>
      <c r="F490" s="3"/>
      <c r="G490" s="3"/>
      <c r="H490" s="3"/>
      <c r="I490" s="3"/>
      <c r="L490" s="10"/>
    </row>
    <row r="491">
      <c r="B491" s="21"/>
      <c r="F491" s="3"/>
      <c r="G491" s="3"/>
      <c r="H491" s="3"/>
      <c r="I491" s="3"/>
      <c r="L491" s="10"/>
    </row>
    <row r="492">
      <c r="B492" s="21"/>
      <c r="F492" s="3"/>
      <c r="G492" s="3"/>
      <c r="H492" s="3"/>
      <c r="I492" s="3"/>
      <c r="L492" s="10"/>
    </row>
    <row r="493">
      <c r="B493" s="21"/>
      <c r="F493" s="3"/>
      <c r="G493" s="3"/>
      <c r="H493" s="3"/>
      <c r="I493" s="3"/>
      <c r="L493" s="10"/>
    </row>
    <row r="494">
      <c r="B494" s="21"/>
      <c r="F494" s="3"/>
      <c r="G494" s="3"/>
      <c r="H494" s="3"/>
      <c r="I494" s="3"/>
      <c r="L494" s="10"/>
    </row>
    <row r="495">
      <c r="B495" s="21"/>
      <c r="F495" s="3"/>
      <c r="G495" s="3"/>
      <c r="H495" s="3"/>
      <c r="I495" s="3"/>
      <c r="L495" s="10"/>
    </row>
    <row r="496">
      <c r="B496" s="21"/>
      <c r="F496" s="3"/>
      <c r="G496" s="3"/>
      <c r="H496" s="3"/>
      <c r="I496" s="3"/>
      <c r="L496" s="10"/>
    </row>
    <row r="497">
      <c r="B497" s="21"/>
      <c r="F497" s="3"/>
      <c r="G497" s="3"/>
      <c r="H497" s="3"/>
      <c r="I497" s="3"/>
      <c r="L497" s="10"/>
    </row>
    <row r="498">
      <c r="B498" s="21"/>
      <c r="F498" s="3"/>
      <c r="G498" s="3"/>
      <c r="H498" s="3"/>
      <c r="I498" s="3"/>
      <c r="L498" s="10"/>
    </row>
    <row r="499">
      <c r="B499" s="21"/>
      <c r="F499" s="3"/>
      <c r="G499" s="3"/>
      <c r="H499" s="3"/>
      <c r="I499" s="3"/>
      <c r="L499" s="10"/>
    </row>
    <row r="500">
      <c r="B500" s="21"/>
      <c r="F500" s="3"/>
      <c r="G500" s="3"/>
      <c r="H500" s="3"/>
      <c r="I500" s="3"/>
      <c r="L500" s="10"/>
    </row>
    <row r="501">
      <c r="B501" s="21"/>
      <c r="F501" s="3"/>
      <c r="G501" s="3"/>
      <c r="H501" s="3"/>
      <c r="I501" s="3"/>
      <c r="L501" s="10"/>
    </row>
    <row r="502">
      <c r="B502" s="21"/>
      <c r="F502" s="3"/>
      <c r="G502" s="3"/>
      <c r="H502" s="3"/>
      <c r="I502" s="3"/>
      <c r="L502" s="10"/>
    </row>
    <row r="503">
      <c r="B503" s="21"/>
      <c r="F503" s="3"/>
      <c r="G503" s="3"/>
      <c r="H503" s="3"/>
      <c r="I503" s="3"/>
      <c r="L503" s="10"/>
    </row>
    <row r="504">
      <c r="B504" s="21"/>
      <c r="F504" s="3"/>
      <c r="G504" s="3"/>
      <c r="H504" s="3"/>
      <c r="I504" s="3"/>
      <c r="L504" s="10"/>
    </row>
    <row r="505">
      <c r="B505" s="21"/>
      <c r="F505" s="3"/>
      <c r="G505" s="3"/>
      <c r="H505" s="3"/>
      <c r="I505" s="3"/>
      <c r="L505" s="10"/>
    </row>
    <row r="506">
      <c r="B506" s="21"/>
      <c r="F506" s="3"/>
      <c r="G506" s="3"/>
      <c r="H506" s="3"/>
      <c r="I506" s="3"/>
      <c r="L506" s="10"/>
    </row>
    <row r="507">
      <c r="B507" s="21"/>
      <c r="F507" s="3"/>
      <c r="G507" s="3"/>
      <c r="H507" s="3"/>
      <c r="I507" s="3"/>
      <c r="L507" s="10"/>
    </row>
    <row r="508">
      <c r="B508" s="21"/>
      <c r="F508" s="3"/>
      <c r="G508" s="3"/>
      <c r="H508" s="3"/>
      <c r="I508" s="3"/>
      <c r="L508" s="10"/>
    </row>
    <row r="509">
      <c r="B509" s="21"/>
      <c r="F509" s="3"/>
      <c r="G509" s="3"/>
      <c r="H509" s="3"/>
      <c r="I509" s="3"/>
      <c r="L509" s="10"/>
    </row>
    <row r="510">
      <c r="B510" s="21"/>
      <c r="F510" s="3"/>
      <c r="G510" s="3"/>
      <c r="H510" s="3"/>
      <c r="I510" s="3"/>
      <c r="L510" s="10"/>
    </row>
    <row r="511">
      <c r="B511" s="21"/>
      <c r="F511" s="3"/>
      <c r="G511" s="3"/>
      <c r="H511" s="3"/>
      <c r="I511" s="3"/>
      <c r="L511" s="10"/>
    </row>
    <row r="512">
      <c r="B512" s="21"/>
      <c r="F512" s="3"/>
      <c r="G512" s="3"/>
      <c r="H512" s="3"/>
      <c r="I512" s="3"/>
      <c r="L512" s="10"/>
    </row>
    <row r="513">
      <c r="B513" s="21"/>
      <c r="F513" s="3"/>
      <c r="G513" s="3"/>
      <c r="H513" s="3"/>
      <c r="I513" s="3"/>
      <c r="L513" s="10"/>
    </row>
    <row r="514">
      <c r="B514" s="21"/>
      <c r="F514" s="3"/>
      <c r="G514" s="3"/>
      <c r="H514" s="3"/>
      <c r="I514" s="3"/>
      <c r="L514" s="10"/>
    </row>
    <row r="515">
      <c r="B515" s="21"/>
      <c r="F515" s="3"/>
      <c r="G515" s="3"/>
      <c r="H515" s="3"/>
      <c r="I515" s="3"/>
      <c r="L515" s="10"/>
    </row>
    <row r="516">
      <c r="B516" s="21"/>
      <c r="F516" s="3"/>
      <c r="G516" s="3"/>
      <c r="H516" s="3"/>
      <c r="I516" s="3"/>
      <c r="L516" s="10"/>
    </row>
    <row r="517">
      <c r="B517" s="21"/>
      <c r="F517" s="3"/>
      <c r="G517" s="3"/>
      <c r="H517" s="3"/>
      <c r="I517" s="3"/>
      <c r="L517" s="10"/>
    </row>
    <row r="518">
      <c r="B518" s="21"/>
      <c r="F518" s="3"/>
      <c r="G518" s="3"/>
      <c r="H518" s="3"/>
      <c r="I518" s="3"/>
      <c r="L518" s="10"/>
    </row>
    <row r="519">
      <c r="B519" s="21"/>
      <c r="F519" s="3"/>
      <c r="G519" s="3"/>
      <c r="H519" s="3"/>
      <c r="I519" s="3"/>
      <c r="L519" s="10"/>
    </row>
    <row r="520">
      <c r="B520" s="21"/>
      <c r="F520" s="3"/>
      <c r="G520" s="3"/>
      <c r="H520" s="3"/>
      <c r="I520" s="3"/>
      <c r="L520" s="10"/>
    </row>
    <row r="521">
      <c r="B521" s="21"/>
      <c r="F521" s="3"/>
      <c r="G521" s="3"/>
      <c r="H521" s="3"/>
      <c r="I521" s="3"/>
      <c r="L521" s="10"/>
    </row>
    <row r="522">
      <c r="B522" s="21"/>
      <c r="F522" s="3"/>
      <c r="G522" s="3"/>
      <c r="H522" s="3"/>
      <c r="I522" s="3"/>
      <c r="L522" s="10"/>
    </row>
    <row r="523">
      <c r="B523" s="21"/>
      <c r="F523" s="3"/>
      <c r="G523" s="3"/>
      <c r="H523" s="3"/>
      <c r="I523" s="3"/>
      <c r="L523" s="10"/>
    </row>
    <row r="524">
      <c r="B524" s="21"/>
      <c r="F524" s="3"/>
      <c r="G524" s="3"/>
      <c r="H524" s="3"/>
      <c r="I524" s="3"/>
      <c r="L524" s="10"/>
    </row>
    <row r="525">
      <c r="B525" s="21"/>
      <c r="F525" s="3"/>
      <c r="G525" s="3"/>
      <c r="H525" s="3"/>
      <c r="I525" s="3"/>
      <c r="L525" s="10"/>
    </row>
    <row r="526">
      <c r="B526" s="21"/>
      <c r="F526" s="3"/>
      <c r="G526" s="3"/>
      <c r="H526" s="3"/>
      <c r="I526" s="3"/>
      <c r="L526" s="10"/>
    </row>
    <row r="527">
      <c r="B527" s="21"/>
      <c r="F527" s="3"/>
      <c r="G527" s="3"/>
      <c r="H527" s="3"/>
      <c r="I527" s="3"/>
      <c r="L527" s="10"/>
    </row>
    <row r="528">
      <c r="B528" s="21"/>
      <c r="F528" s="3"/>
      <c r="G528" s="3"/>
      <c r="H528" s="3"/>
      <c r="I528" s="3"/>
      <c r="L528" s="10"/>
    </row>
    <row r="529">
      <c r="B529" s="21"/>
      <c r="F529" s="3"/>
      <c r="G529" s="3"/>
      <c r="H529" s="3"/>
      <c r="I529" s="3"/>
      <c r="L529" s="10"/>
    </row>
    <row r="530">
      <c r="B530" s="21"/>
      <c r="F530" s="3"/>
      <c r="G530" s="3"/>
      <c r="H530" s="3"/>
      <c r="I530" s="3"/>
      <c r="L530" s="10"/>
    </row>
    <row r="531">
      <c r="B531" s="21"/>
      <c r="F531" s="3"/>
      <c r="G531" s="3"/>
      <c r="H531" s="3"/>
      <c r="I531" s="3"/>
      <c r="L531" s="10"/>
    </row>
    <row r="532">
      <c r="B532" s="21"/>
      <c r="F532" s="3"/>
      <c r="G532" s="3"/>
      <c r="H532" s="3"/>
      <c r="I532" s="3"/>
      <c r="L532" s="10"/>
    </row>
    <row r="533">
      <c r="B533" s="21"/>
      <c r="F533" s="3"/>
      <c r="G533" s="3"/>
      <c r="H533" s="3"/>
      <c r="I533" s="3"/>
      <c r="L533" s="10"/>
    </row>
    <row r="534">
      <c r="B534" s="21"/>
      <c r="F534" s="3"/>
      <c r="G534" s="3"/>
      <c r="H534" s="3"/>
      <c r="I534" s="3"/>
      <c r="L534" s="10"/>
    </row>
    <row r="535">
      <c r="B535" s="21"/>
      <c r="F535" s="3"/>
      <c r="G535" s="3"/>
      <c r="H535" s="3"/>
      <c r="I535" s="3"/>
      <c r="L535" s="10"/>
    </row>
    <row r="536">
      <c r="B536" s="21"/>
      <c r="F536" s="3"/>
      <c r="G536" s="3"/>
      <c r="H536" s="3"/>
      <c r="I536" s="3"/>
      <c r="L536" s="10"/>
    </row>
    <row r="537">
      <c r="B537" s="21"/>
      <c r="F537" s="3"/>
      <c r="G537" s="3"/>
      <c r="H537" s="3"/>
      <c r="I537" s="3"/>
      <c r="L537" s="10"/>
    </row>
    <row r="538">
      <c r="B538" s="21"/>
      <c r="F538" s="3"/>
      <c r="G538" s="3"/>
      <c r="H538" s="3"/>
      <c r="I538" s="3"/>
      <c r="L538" s="10"/>
    </row>
    <row r="539">
      <c r="B539" s="21"/>
      <c r="F539" s="3"/>
      <c r="G539" s="3"/>
      <c r="H539" s="3"/>
      <c r="I539" s="3"/>
      <c r="L539" s="10"/>
    </row>
    <row r="540">
      <c r="B540" s="21"/>
      <c r="F540" s="3"/>
      <c r="G540" s="3"/>
      <c r="H540" s="3"/>
      <c r="I540" s="3"/>
      <c r="L540" s="10"/>
    </row>
    <row r="541">
      <c r="B541" s="21"/>
      <c r="F541" s="3"/>
      <c r="G541" s="3"/>
      <c r="H541" s="3"/>
      <c r="I541" s="3"/>
      <c r="L541" s="10"/>
    </row>
    <row r="542">
      <c r="B542" s="21"/>
      <c r="F542" s="3"/>
      <c r="G542" s="3"/>
      <c r="H542" s="3"/>
      <c r="I542" s="3"/>
      <c r="L542" s="10"/>
    </row>
    <row r="543">
      <c r="B543" s="21"/>
      <c r="F543" s="3"/>
      <c r="G543" s="3"/>
      <c r="H543" s="3"/>
      <c r="I543" s="3"/>
      <c r="L543" s="10"/>
    </row>
    <row r="544">
      <c r="B544" s="21"/>
      <c r="F544" s="3"/>
      <c r="G544" s="3"/>
      <c r="H544" s="3"/>
      <c r="I544" s="3"/>
      <c r="L544" s="10"/>
    </row>
    <row r="545">
      <c r="B545" s="21"/>
      <c r="F545" s="3"/>
      <c r="G545" s="3"/>
      <c r="H545" s="3"/>
      <c r="I545" s="3"/>
      <c r="L545" s="10"/>
    </row>
    <row r="546">
      <c r="B546" s="21"/>
      <c r="F546" s="3"/>
      <c r="G546" s="3"/>
      <c r="H546" s="3"/>
      <c r="I546" s="3"/>
      <c r="L546" s="10"/>
    </row>
    <row r="547">
      <c r="B547" s="21"/>
      <c r="F547" s="3"/>
      <c r="G547" s="3"/>
      <c r="H547" s="3"/>
      <c r="I547" s="3"/>
      <c r="L547" s="10"/>
    </row>
    <row r="548">
      <c r="B548" s="21"/>
      <c r="F548" s="3"/>
      <c r="G548" s="3"/>
      <c r="H548" s="3"/>
      <c r="I548" s="3"/>
      <c r="L548" s="10"/>
    </row>
    <row r="549">
      <c r="B549" s="21"/>
      <c r="F549" s="3"/>
      <c r="G549" s="3"/>
      <c r="H549" s="3"/>
      <c r="I549" s="3"/>
      <c r="L549" s="10"/>
    </row>
    <row r="550">
      <c r="B550" s="21"/>
      <c r="F550" s="3"/>
      <c r="G550" s="3"/>
      <c r="H550" s="3"/>
      <c r="I550" s="3"/>
      <c r="L550" s="10"/>
    </row>
    <row r="551">
      <c r="B551" s="21"/>
      <c r="F551" s="3"/>
      <c r="G551" s="3"/>
      <c r="H551" s="3"/>
      <c r="I551" s="3"/>
      <c r="L551" s="10"/>
    </row>
    <row r="552">
      <c r="B552" s="21"/>
      <c r="F552" s="3"/>
      <c r="G552" s="3"/>
      <c r="H552" s="3"/>
      <c r="I552" s="3"/>
      <c r="L552" s="10"/>
    </row>
    <row r="553">
      <c r="B553" s="21"/>
      <c r="F553" s="3"/>
      <c r="G553" s="3"/>
      <c r="H553" s="3"/>
      <c r="I553" s="3"/>
      <c r="L553" s="10"/>
    </row>
    <row r="554">
      <c r="B554" s="21"/>
      <c r="F554" s="3"/>
      <c r="G554" s="3"/>
      <c r="H554" s="3"/>
      <c r="I554" s="3"/>
      <c r="L554" s="10"/>
    </row>
    <row r="555">
      <c r="B555" s="21"/>
      <c r="F555" s="3"/>
      <c r="G555" s="3"/>
      <c r="H555" s="3"/>
      <c r="I555" s="3"/>
      <c r="L555" s="10"/>
    </row>
    <row r="556">
      <c r="B556" s="21"/>
      <c r="F556" s="3"/>
      <c r="G556" s="3"/>
      <c r="H556" s="3"/>
      <c r="I556" s="3"/>
      <c r="L556" s="10"/>
    </row>
    <row r="557">
      <c r="B557" s="21"/>
      <c r="F557" s="3"/>
      <c r="G557" s="3"/>
      <c r="H557" s="3"/>
      <c r="I557" s="3"/>
      <c r="L557" s="10"/>
    </row>
    <row r="558">
      <c r="B558" s="21"/>
      <c r="F558" s="3"/>
      <c r="G558" s="3"/>
      <c r="H558" s="3"/>
      <c r="I558" s="3"/>
      <c r="L558" s="10"/>
    </row>
    <row r="559">
      <c r="B559" s="21"/>
      <c r="F559" s="3"/>
      <c r="G559" s="3"/>
      <c r="H559" s="3"/>
      <c r="I559" s="3"/>
      <c r="L559" s="10"/>
    </row>
    <row r="560">
      <c r="B560" s="21"/>
      <c r="F560" s="3"/>
      <c r="G560" s="3"/>
      <c r="H560" s="3"/>
      <c r="I560" s="3"/>
      <c r="L560" s="10"/>
    </row>
    <row r="561">
      <c r="B561" s="21"/>
      <c r="F561" s="3"/>
      <c r="G561" s="3"/>
      <c r="H561" s="3"/>
      <c r="I561" s="3"/>
      <c r="L561" s="10"/>
    </row>
    <row r="562">
      <c r="B562" s="21"/>
      <c r="F562" s="3"/>
      <c r="G562" s="3"/>
      <c r="H562" s="3"/>
      <c r="I562" s="3"/>
      <c r="L562" s="10"/>
    </row>
    <row r="563">
      <c r="B563" s="21"/>
      <c r="F563" s="3"/>
      <c r="G563" s="3"/>
      <c r="H563" s="3"/>
      <c r="I563" s="3"/>
      <c r="L563" s="10"/>
    </row>
    <row r="564">
      <c r="B564" s="21"/>
      <c r="F564" s="3"/>
      <c r="G564" s="3"/>
      <c r="H564" s="3"/>
      <c r="I564" s="3"/>
      <c r="L564" s="10"/>
    </row>
    <row r="565">
      <c r="B565" s="21"/>
      <c r="F565" s="3"/>
      <c r="G565" s="3"/>
      <c r="H565" s="3"/>
      <c r="I565" s="3"/>
      <c r="L565" s="10"/>
    </row>
    <row r="566">
      <c r="B566" s="21"/>
      <c r="F566" s="3"/>
      <c r="G566" s="3"/>
      <c r="H566" s="3"/>
      <c r="I566" s="3"/>
      <c r="L566" s="10"/>
    </row>
    <row r="567">
      <c r="B567" s="21"/>
      <c r="F567" s="3"/>
      <c r="G567" s="3"/>
      <c r="H567" s="3"/>
      <c r="I567" s="3"/>
      <c r="L567" s="10"/>
    </row>
    <row r="568">
      <c r="B568" s="21"/>
      <c r="F568" s="3"/>
      <c r="G568" s="3"/>
      <c r="H568" s="3"/>
      <c r="I568" s="3"/>
      <c r="L568" s="10"/>
    </row>
    <row r="569">
      <c r="B569" s="21"/>
      <c r="F569" s="3"/>
      <c r="G569" s="3"/>
      <c r="H569" s="3"/>
      <c r="I569" s="3"/>
      <c r="L569" s="10"/>
    </row>
    <row r="570">
      <c r="B570" s="21"/>
      <c r="F570" s="3"/>
      <c r="G570" s="3"/>
      <c r="H570" s="3"/>
      <c r="I570" s="3"/>
      <c r="L570" s="10"/>
    </row>
    <row r="571">
      <c r="B571" s="21"/>
      <c r="F571" s="3"/>
      <c r="G571" s="3"/>
      <c r="H571" s="3"/>
      <c r="I571" s="3"/>
      <c r="L571" s="10"/>
    </row>
    <row r="572">
      <c r="B572" s="21"/>
      <c r="F572" s="3"/>
      <c r="G572" s="3"/>
      <c r="H572" s="3"/>
      <c r="I572" s="3"/>
      <c r="L572" s="10"/>
    </row>
    <row r="573">
      <c r="B573" s="21"/>
      <c r="F573" s="3"/>
      <c r="G573" s="3"/>
      <c r="H573" s="3"/>
      <c r="I573" s="3"/>
      <c r="L573" s="10"/>
    </row>
    <row r="574">
      <c r="B574" s="21"/>
      <c r="F574" s="3"/>
      <c r="G574" s="3"/>
      <c r="H574" s="3"/>
      <c r="I574" s="3"/>
      <c r="L574" s="10"/>
    </row>
    <row r="575">
      <c r="B575" s="21"/>
      <c r="F575" s="3"/>
      <c r="G575" s="3"/>
      <c r="H575" s="3"/>
      <c r="I575" s="3"/>
      <c r="L575" s="10"/>
    </row>
    <row r="576">
      <c r="B576" s="21"/>
      <c r="F576" s="3"/>
      <c r="G576" s="3"/>
      <c r="H576" s="3"/>
      <c r="I576" s="3"/>
      <c r="L576" s="10"/>
    </row>
    <row r="577">
      <c r="B577" s="21"/>
      <c r="F577" s="3"/>
      <c r="G577" s="3"/>
      <c r="H577" s="3"/>
      <c r="I577" s="3"/>
      <c r="L577" s="10"/>
    </row>
    <row r="578">
      <c r="B578" s="21"/>
      <c r="F578" s="3"/>
      <c r="G578" s="3"/>
      <c r="H578" s="3"/>
      <c r="I578" s="3"/>
      <c r="L578" s="10"/>
    </row>
    <row r="579">
      <c r="B579" s="21"/>
      <c r="F579" s="3"/>
      <c r="G579" s="3"/>
      <c r="H579" s="3"/>
      <c r="I579" s="3"/>
      <c r="L579" s="10"/>
    </row>
    <row r="580">
      <c r="B580" s="21"/>
      <c r="F580" s="3"/>
      <c r="G580" s="3"/>
      <c r="H580" s="3"/>
      <c r="I580" s="3"/>
      <c r="L580" s="10"/>
    </row>
    <row r="581">
      <c r="B581" s="21"/>
      <c r="F581" s="3"/>
      <c r="G581" s="3"/>
      <c r="H581" s="3"/>
      <c r="I581" s="3"/>
      <c r="L581" s="10"/>
    </row>
    <row r="582">
      <c r="B582" s="21"/>
      <c r="F582" s="3"/>
      <c r="G582" s="3"/>
      <c r="H582" s="3"/>
      <c r="I582" s="3"/>
      <c r="L582" s="10"/>
    </row>
    <row r="583">
      <c r="B583" s="21"/>
      <c r="F583" s="3"/>
      <c r="G583" s="3"/>
      <c r="H583" s="3"/>
      <c r="I583" s="3"/>
      <c r="L583" s="10"/>
    </row>
    <row r="584">
      <c r="B584" s="21"/>
      <c r="F584" s="3"/>
      <c r="G584" s="3"/>
      <c r="H584" s="3"/>
      <c r="I584" s="3"/>
      <c r="L584" s="10"/>
    </row>
    <row r="585">
      <c r="B585" s="21"/>
      <c r="F585" s="3"/>
      <c r="G585" s="3"/>
      <c r="H585" s="3"/>
      <c r="I585" s="3"/>
      <c r="L585" s="10"/>
    </row>
    <row r="586">
      <c r="B586" s="21"/>
      <c r="F586" s="3"/>
      <c r="G586" s="3"/>
      <c r="H586" s="3"/>
      <c r="I586" s="3"/>
      <c r="L586" s="10"/>
    </row>
    <row r="587">
      <c r="B587" s="21"/>
      <c r="F587" s="3"/>
      <c r="G587" s="3"/>
      <c r="H587" s="3"/>
      <c r="I587" s="3"/>
      <c r="L587" s="10"/>
    </row>
    <row r="588">
      <c r="B588" s="21"/>
      <c r="F588" s="3"/>
      <c r="G588" s="3"/>
      <c r="H588" s="3"/>
      <c r="I588" s="3"/>
      <c r="L588" s="10"/>
    </row>
    <row r="589">
      <c r="B589" s="21"/>
      <c r="F589" s="3"/>
      <c r="G589" s="3"/>
      <c r="H589" s="3"/>
      <c r="I589" s="3"/>
      <c r="L589" s="10"/>
    </row>
    <row r="590">
      <c r="B590" s="21"/>
      <c r="F590" s="3"/>
      <c r="G590" s="3"/>
      <c r="H590" s="3"/>
      <c r="I590" s="3"/>
      <c r="L590" s="10"/>
    </row>
    <row r="591">
      <c r="B591" s="21"/>
      <c r="F591" s="3"/>
      <c r="G591" s="3"/>
      <c r="H591" s="3"/>
      <c r="I591" s="3"/>
      <c r="L591" s="10"/>
    </row>
    <row r="592">
      <c r="B592" s="21"/>
      <c r="F592" s="3"/>
      <c r="G592" s="3"/>
      <c r="H592" s="3"/>
      <c r="I592" s="3"/>
      <c r="L592" s="10"/>
    </row>
    <row r="593">
      <c r="B593" s="21"/>
      <c r="F593" s="3"/>
      <c r="G593" s="3"/>
      <c r="H593" s="3"/>
      <c r="I593" s="3"/>
      <c r="L593" s="10"/>
    </row>
    <row r="594">
      <c r="B594" s="21"/>
      <c r="F594" s="3"/>
      <c r="G594" s="3"/>
      <c r="H594" s="3"/>
      <c r="I594" s="3"/>
      <c r="L594" s="10"/>
    </row>
    <row r="595">
      <c r="B595" s="21"/>
      <c r="F595" s="3"/>
      <c r="G595" s="3"/>
      <c r="H595" s="3"/>
      <c r="I595" s="3"/>
      <c r="L595" s="10"/>
    </row>
    <row r="596">
      <c r="B596" s="21"/>
      <c r="F596" s="3"/>
      <c r="G596" s="3"/>
      <c r="H596" s="3"/>
      <c r="I596" s="3"/>
      <c r="L596" s="10"/>
    </row>
    <row r="597">
      <c r="B597" s="21"/>
      <c r="F597" s="3"/>
      <c r="G597" s="3"/>
      <c r="H597" s="3"/>
      <c r="I597" s="3"/>
      <c r="L597" s="10"/>
    </row>
    <row r="598">
      <c r="B598" s="21"/>
      <c r="F598" s="3"/>
      <c r="G598" s="3"/>
      <c r="H598" s="3"/>
      <c r="I598" s="3"/>
      <c r="L598" s="10"/>
    </row>
    <row r="599">
      <c r="B599" s="21"/>
      <c r="F599" s="3"/>
      <c r="G599" s="3"/>
      <c r="H599" s="3"/>
      <c r="I599" s="3"/>
      <c r="L599" s="10"/>
    </row>
    <row r="600">
      <c r="B600" s="21"/>
      <c r="F600" s="3"/>
      <c r="G600" s="3"/>
      <c r="H600" s="3"/>
      <c r="I600" s="3"/>
      <c r="L600" s="10"/>
    </row>
    <row r="601">
      <c r="B601" s="21"/>
      <c r="F601" s="3"/>
      <c r="G601" s="3"/>
      <c r="H601" s="3"/>
      <c r="I601" s="3"/>
      <c r="L601" s="10"/>
    </row>
    <row r="602">
      <c r="B602" s="21"/>
      <c r="F602" s="3"/>
      <c r="G602" s="3"/>
      <c r="H602" s="3"/>
      <c r="I602" s="3"/>
      <c r="L602" s="10"/>
    </row>
    <row r="603">
      <c r="B603" s="21"/>
      <c r="F603" s="3"/>
      <c r="G603" s="3"/>
      <c r="H603" s="3"/>
      <c r="I603" s="3"/>
      <c r="L603" s="10"/>
    </row>
    <row r="604">
      <c r="B604" s="21"/>
      <c r="F604" s="3"/>
      <c r="G604" s="3"/>
      <c r="H604" s="3"/>
      <c r="I604" s="3"/>
      <c r="L604" s="10"/>
    </row>
    <row r="605">
      <c r="B605" s="21"/>
      <c r="F605" s="3"/>
      <c r="G605" s="3"/>
      <c r="H605" s="3"/>
      <c r="I605" s="3"/>
      <c r="L605" s="10"/>
    </row>
    <row r="606">
      <c r="B606" s="21"/>
      <c r="F606" s="3"/>
      <c r="G606" s="3"/>
      <c r="H606" s="3"/>
      <c r="I606" s="3"/>
      <c r="L606" s="10"/>
    </row>
    <row r="607">
      <c r="B607" s="21"/>
      <c r="F607" s="3"/>
      <c r="G607" s="3"/>
      <c r="H607" s="3"/>
      <c r="I607" s="3"/>
      <c r="L607" s="10"/>
    </row>
    <row r="608">
      <c r="B608" s="21"/>
      <c r="F608" s="3"/>
      <c r="G608" s="3"/>
      <c r="H608" s="3"/>
      <c r="I608" s="3"/>
      <c r="L608" s="10"/>
    </row>
    <row r="609">
      <c r="B609" s="21"/>
      <c r="F609" s="3"/>
      <c r="G609" s="3"/>
      <c r="H609" s="3"/>
      <c r="I609" s="3"/>
      <c r="L609" s="10"/>
    </row>
    <row r="610">
      <c r="B610" s="21"/>
      <c r="F610" s="3"/>
      <c r="G610" s="3"/>
      <c r="H610" s="3"/>
      <c r="I610" s="3"/>
      <c r="L610" s="10"/>
    </row>
    <row r="611">
      <c r="B611" s="21"/>
      <c r="F611" s="3"/>
      <c r="G611" s="3"/>
      <c r="H611" s="3"/>
      <c r="I611" s="3"/>
      <c r="L611" s="10"/>
    </row>
    <row r="612">
      <c r="B612" s="21"/>
      <c r="F612" s="3"/>
      <c r="G612" s="3"/>
      <c r="H612" s="3"/>
      <c r="I612" s="3"/>
      <c r="L612" s="10"/>
    </row>
    <row r="613">
      <c r="B613" s="21"/>
      <c r="F613" s="3"/>
      <c r="G613" s="3"/>
      <c r="H613" s="3"/>
      <c r="I613" s="3"/>
      <c r="L613" s="10"/>
    </row>
    <row r="614">
      <c r="B614" s="21"/>
      <c r="F614" s="3"/>
      <c r="G614" s="3"/>
      <c r="H614" s="3"/>
      <c r="I614" s="3"/>
      <c r="L614" s="10"/>
    </row>
    <row r="615">
      <c r="B615" s="21"/>
      <c r="F615" s="3"/>
      <c r="G615" s="3"/>
      <c r="H615" s="3"/>
      <c r="I615" s="3"/>
      <c r="L615" s="10"/>
    </row>
    <row r="616">
      <c r="B616" s="21"/>
      <c r="F616" s="3"/>
      <c r="G616" s="3"/>
      <c r="H616" s="3"/>
      <c r="I616" s="3"/>
      <c r="L616" s="10"/>
    </row>
    <row r="617">
      <c r="B617" s="21"/>
      <c r="F617" s="3"/>
      <c r="G617" s="3"/>
      <c r="H617" s="3"/>
      <c r="I617" s="3"/>
      <c r="L617" s="10"/>
    </row>
    <row r="618">
      <c r="B618" s="21"/>
      <c r="F618" s="3"/>
      <c r="G618" s="3"/>
      <c r="H618" s="3"/>
      <c r="I618" s="3"/>
      <c r="L618" s="10"/>
    </row>
    <row r="619">
      <c r="B619" s="21"/>
      <c r="F619" s="3"/>
      <c r="G619" s="3"/>
      <c r="H619" s="3"/>
      <c r="I619" s="3"/>
      <c r="L619" s="10"/>
    </row>
    <row r="620">
      <c r="B620" s="21"/>
      <c r="F620" s="3"/>
      <c r="G620" s="3"/>
      <c r="H620" s="3"/>
      <c r="I620" s="3"/>
      <c r="L620" s="10"/>
    </row>
    <row r="621">
      <c r="B621" s="21"/>
      <c r="F621" s="3"/>
      <c r="G621" s="3"/>
      <c r="H621" s="3"/>
      <c r="I621" s="3"/>
      <c r="L621" s="10"/>
    </row>
    <row r="622">
      <c r="B622" s="21"/>
      <c r="F622" s="3"/>
      <c r="G622" s="3"/>
      <c r="H622" s="3"/>
      <c r="I622" s="3"/>
      <c r="L622" s="10"/>
    </row>
    <row r="623">
      <c r="B623" s="21"/>
      <c r="F623" s="3"/>
      <c r="G623" s="3"/>
      <c r="H623" s="3"/>
      <c r="I623" s="3"/>
      <c r="L623" s="10"/>
    </row>
    <row r="624">
      <c r="B624" s="21"/>
      <c r="F624" s="3"/>
      <c r="G624" s="3"/>
      <c r="H624" s="3"/>
      <c r="I624" s="3"/>
      <c r="L624" s="10"/>
    </row>
    <row r="625">
      <c r="B625" s="21"/>
      <c r="F625" s="3"/>
      <c r="G625" s="3"/>
      <c r="H625" s="3"/>
      <c r="I625" s="3"/>
      <c r="L625" s="10"/>
    </row>
    <row r="626">
      <c r="B626" s="21"/>
      <c r="F626" s="3"/>
      <c r="G626" s="3"/>
      <c r="H626" s="3"/>
      <c r="I626" s="3"/>
      <c r="L626" s="10"/>
    </row>
    <row r="627">
      <c r="B627" s="21"/>
      <c r="F627" s="3"/>
      <c r="G627" s="3"/>
      <c r="H627" s="3"/>
      <c r="I627" s="3"/>
      <c r="L627" s="10"/>
    </row>
    <row r="628">
      <c r="B628" s="21"/>
      <c r="F628" s="3"/>
      <c r="G628" s="3"/>
      <c r="H628" s="3"/>
      <c r="I628" s="3"/>
      <c r="L628" s="10"/>
    </row>
    <row r="629">
      <c r="B629" s="21"/>
      <c r="F629" s="3"/>
      <c r="G629" s="3"/>
      <c r="H629" s="3"/>
      <c r="I629" s="3"/>
      <c r="L629" s="10"/>
    </row>
    <row r="630">
      <c r="B630" s="21"/>
      <c r="F630" s="3"/>
      <c r="G630" s="3"/>
      <c r="H630" s="3"/>
      <c r="I630" s="3"/>
      <c r="L630" s="10"/>
    </row>
    <row r="631">
      <c r="B631" s="21"/>
      <c r="F631" s="3"/>
      <c r="G631" s="3"/>
      <c r="H631" s="3"/>
      <c r="I631" s="3"/>
      <c r="L631" s="10"/>
    </row>
    <row r="632">
      <c r="B632" s="21"/>
      <c r="F632" s="3"/>
      <c r="G632" s="3"/>
      <c r="H632" s="3"/>
      <c r="I632" s="3"/>
      <c r="L632" s="10"/>
    </row>
    <row r="633">
      <c r="B633" s="21"/>
      <c r="F633" s="3"/>
      <c r="G633" s="3"/>
      <c r="H633" s="3"/>
      <c r="I633" s="3"/>
      <c r="L633" s="10"/>
    </row>
    <row r="634">
      <c r="B634" s="21"/>
      <c r="F634" s="3"/>
      <c r="G634" s="3"/>
      <c r="H634" s="3"/>
      <c r="I634" s="3"/>
      <c r="L634" s="10"/>
    </row>
    <row r="635">
      <c r="B635" s="21"/>
      <c r="F635" s="3"/>
      <c r="G635" s="3"/>
      <c r="H635" s="3"/>
      <c r="I635" s="3"/>
      <c r="L635" s="10"/>
    </row>
    <row r="636">
      <c r="B636" s="21"/>
      <c r="F636" s="3"/>
      <c r="G636" s="3"/>
      <c r="H636" s="3"/>
      <c r="I636" s="3"/>
      <c r="L636" s="10"/>
    </row>
    <row r="637">
      <c r="B637" s="21"/>
      <c r="F637" s="3"/>
      <c r="G637" s="3"/>
      <c r="H637" s="3"/>
      <c r="I637" s="3"/>
      <c r="L637" s="10"/>
    </row>
    <row r="638">
      <c r="B638" s="21"/>
      <c r="F638" s="3"/>
      <c r="G638" s="3"/>
      <c r="H638" s="3"/>
      <c r="I638" s="3"/>
      <c r="L638" s="10"/>
    </row>
    <row r="639">
      <c r="B639" s="21"/>
      <c r="F639" s="3"/>
      <c r="G639" s="3"/>
      <c r="H639" s="3"/>
      <c r="I639" s="3"/>
      <c r="L639" s="10"/>
    </row>
    <row r="640">
      <c r="B640" s="21"/>
      <c r="F640" s="3"/>
      <c r="G640" s="3"/>
      <c r="H640" s="3"/>
      <c r="I640" s="3"/>
      <c r="L640" s="10"/>
    </row>
    <row r="641">
      <c r="B641" s="21"/>
      <c r="F641" s="3"/>
      <c r="G641" s="3"/>
      <c r="H641" s="3"/>
      <c r="I641" s="3"/>
      <c r="L641" s="10"/>
    </row>
    <row r="642">
      <c r="B642" s="21"/>
      <c r="F642" s="3"/>
      <c r="G642" s="3"/>
      <c r="H642" s="3"/>
      <c r="I642" s="3"/>
      <c r="L642" s="10"/>
    </row>
    <row r="643">
      <c r="B643" s="21"/>
      <c r="F643" s="3"/>
      <c r="G643" s="3"/>
      <c r="H643" s="3"/>
      <c r="I643" s="3"/>
      <c r="L643" s="10"/>
    </row>
    <row r="644">
      <c r="B644" s="21"/>
      <c r="F644" s="3"/>
      <c r="G644" s="3"/>
      <c r="H644" s="3"/>
      <c r="I644" s="3"/>
      <c r="L644" s="10"/>
    </row>
    <row r="645">
      <c r="B645" s="21"/>
      <c r="F645" s="3"/>
      <c r="G645" s="3"/>
      <c r="H645" s="3"/>
      <c r="I645" s="3"/>
      <c r="L645" s="10"/>
    </row>
    <row r="646">
      <c r="B646" s="21"/>
      <c r="F646" s="3"/>
      <c r="G646" s="3"/>
      <c r="H646" s="3"/>
      <c r="I646" s="3"/>
      <c r="L646" s="10"/>
    </row>
    <row r="647">
      <c r="B647" s="21"/>
      <c r="F647" s="3"/>
      <c r="G647" s="3"/>
      <c r="H647" s="3"/>
      <c r="I647" s="3"/>
      <c r="L647" s="10"/>
    </row>
    <row r="648">
      <c r="B648" s="21"/>
      <c r="F648" s="3"/>
      <c r="G648" s="3"/>
      <c r="H648" s="3"/>
      <c r="I648" s="3"/>
      <c r="L648" s="10"/>
    </row>
    <row r="649">
      <c r="B649" s="21"/>
      <c r="F649" s="3"/>
      <c r="G649" s="3"/>
      <c r="H649" s="3"/>
      <c r="I649" s="3"/>
      <c r="L649" s="10"/>
    </row>
    <row r="650">
      <c r="B650" s="21"/>
      <c r="F650" s="3"/>
      <c r="G650" s="3"/>
      <c r="H650" s="3"/>
      <c r="I650" s="3"/>
      <c r="L650" s="10"/>
    </row>
    <row r="651">
      <c r="B651" s="21"/>
      <c r="F651" s="3"/>
      <c r="G651" s="3"/>
      <c r="H651" s="3"/>
      <c r="I651" s="3"/>
      <c r="L651" s="10"/>
    </row>
    <row r="652">
      <c r="B652" s="21"/>
      <c r="F652" s="3"/>
      <c r="G652" s="3"/>
      <c r="H652" s="3"/>
      <c r="I652" s="3"/>
      <c r="L652" s="10"/>
    </row>
    <row r="653">
      <c r="B653" s="21"/>
      <c r="F653" s="3"/>
      <c r="G653" s="3"/>
      <c r="H653" s="3"/>
      <c r="I653" s="3"/>
      <c r="L653" s="10"/>
    </row>
    <row r="654">
      <c r="B654" s="21"/>
      <c r="F654" s="3"/>
      <c r="G654" s="3"/>
      <c r="H654" s="3"/>
      <c r="I654" s="3"/>
      <c r="L654" s="10"/>
    </row>
    <row r="655">
      <c r="B655" s="21"/>
      <c r="F655" s="3"/>
      <c r="G655" s="3"/>
      <c r="H655" s="3"/>
      <c r="I655" s="3"/>
      <c r="L655" s="10"/>
    </row>
    <row r="656">
      <c r="B656" s="21"/>
      <c r="F656" s="3"/>
      <c r="G656" s="3"/>
      <c r="H656" s="3"/>
      <c r="I656" s="3"/>
      <c r="L656" s="10"/>
    </row>
    <row r="657">
      <c r="B657" s="21"/>
      <c r="F657" s="3"/>
      <c r="G657" s="3"/>
      <c r="H657" s="3"/>
      <c r="I657" s="3"/>
      <c r="L657" s="10"/>
    </row>
    <row r="658">
      <c r="B658" s="21"/>
      <c r="F658" s="3"/>
      <c r="G658" s="3"/>
      <c r="H658" s="3"/>
      <c r="I658" s="3"/>
      <c r="L658" s="10"/>
    </row>
    <row r="659">
      <c r="B659" s="21"/>
      <c r="F659" s="3"/>
      <c r="G659" s="3"/>
      <c r="H659" s="3"/>
      <c r="I659" s="3"/>
      <c r="L659" s="10"/>
    </row>
    <row r="660">
      <c r="B660" s="21"/>
      <c r="F660" s="3"/>
      <c r="G660" s="3"/>
      <c r="H660" s="3"/>
      <c r="I660" s="3"/>
      <c r="L660" s="10"/>
    </row>
    <row r="661">
      <c r="B661" s="21"/>
      <c r="F661" s="3"/>
      <c r="G661" s="3"/>
      <c r="H661" s="3"/>
      <c r="I661" s="3"/>
      <c r="L661" s="10"/>
    </row>
    <row r="662">
      <c r="B662" s="21"/>
      <c r="F662" s="3"/>
      <c r="G662" s="3"/>
      <c r="H662" s="3"/>
      <c r="I662" s="3"/>
      <c r="L662" s="10"/>
    </row>
    <row r="663">
      <c r="B663" s="21"/>
      <c r="F663" s="3"/>
      <c r="G663" s="3"/>
      <c r="H663" s="3"/>
      <c r="I663" s="3"/>
      <c r="L663" s="10"/>
    </row>
    <row r="664">
      <c r="B664" s="21"/>
      <c r="F664" s="3"/>
      <c r="G664" s="3"/>
      <c r="H664" s="3"/>
      <c r="I664" s="3"/>
      <c r="L664" s="10"/>
    </row>
    <row r="665">
      <c r="B665" s="21"/>
      <c r="F665" s="3"/>
      <c r="G665" s="3"/>
      <c r="H665" s="3"/>
      <c r="I665" s="3"/>
      <c r="L665" s="10"/>
    </row>
    <row r="666">
      <c r="B666" s="21"/>
      <c r="F666" s="3"/>
      <c r="G666" s="3"/>
      <c r="H666" s="3"/>
      <c r="I666" s="3"/>
      <c r="L666" s="10"/>
    </row>
    <row r="667">
      <c r="B667" s="21"/>
      <c r="F667" s="3"/>
      <c r="G667" s="3"/>
      <c r="H667" s="3"/>
      <c r="I667" s="3"/>
      <c r="L667" s="10"/>
    </row>
    <row r="668">
      <c r="B668" s="21"/>
      <c r="F668" s="3"/>
      <c r="G668" s="3"/>
      <c r="H668" s="3"/>
      <c r="I668" s="3"/>
      <c r="L668" s="10"/>
    </row>
    <row r="669">
      <c r="B669" s="21"/>
      <c r="F669" s="3"/>
      <c r="G669" s="3"/>
      <c r="H669" s="3"/>
      <c r="I669" s="3"/>
      <c r="L669" s="10"/>
    </row>
    <row r="670">
      <c r="B670" s="21"/>
      <c r="F670" s="3"/>
      <c r="G670" s="3"/>
      <c r="H670" s="3"/>
      <c r="I670" s="3"/>
      <c r="L670" s="10"/>
    </row>
    <row r="671">
      <c r="B671" s="21"/>
      <c r="F671" s="3"/>
      <c r="G671" s="3"/>
      <c r="H671" s="3"/>
      <c r="I671" s="3"/>
      <c r="L671" s="10"/>
    </row>
    <row r="672">
      <c r="B672" s="21"/>
      <c r="F672" s="3"/>
      <c r="G672" s="3"/>
      <c r="H672" s="3"/>
      <c r="I672" s="3"/>
      <c r="L672" s="10"/>
    </row>
    <row r="673">
      <c r="B673" s="21"/>
      <c r="F673" s="3"/>
      <c r="G673" s="3"/>
      <c r="H673" s="3"/>
      <c r="I673" s="3"/>
      <c r="L673" s="10"/>
    </row>
    <row r="674">
      <c r="B674" s="21"/>
      <c r="F674" s="3"/>
      <c r="G674" s="3"/>
      <c r="H674" s="3"/>
      <c r="I674" s="3"/>
      <c r="L674" s="10"/>
    </row>
    <row r="675">
      <c r="B675" s="21"/>
      <c r="F675" s="3"/>
      <c r="G675" s="3"/>
      <c r="H675" s="3"/>
      <c r="I675" s="3"/>
      <c r="L675" s="10"/>
    </row>
    <row r="676">
      <c r="B676" s="21"/>
      <c r="F676" s="3"/>
      <c r="G676" s="3"/>
      <c r="H676" s="3"/>
      <c r="I676" s="3"/>
      <c r="L676" s="10"/>
    </row>
    <row r="677">
      <c r="B677" s="21"/>
      <c r="F677" s="3"/>
      <c r="G677" s="3"/>
      <c r="H677" s="3"/>
      <c r="I677" s="3"/>
      <c r="L677" s="10"/>
    </row>
    <row r="678">
      <c r="B678" s="21"/>
      <c r="F678" s="3"/>
      <c r="G678" s="3"/>
      <c r="H678" s="3"/>
      <c r="I678" s="3"/>
      <c r="L678" s="10"/>
    </row>
    <row r="679">
      <c r="B679" s="21"/>
      <c r="F679" s="3"/>
      <c r="G679" s="3"/>
      <c r="H679" s="3"/>
      <c r="I679" s="3"/>
      <c r="L679" s="10"/>
    </row>
    <row r="680">
      <c r="B680" s="21"/>
      <c r="F680" s="3"/>
      <c r="G680" s="3"/>
      <c r="H680" s="3"/>
      <c r="I680" s="3"/>
      <c r="L680" s="10"/>
    </row>
    <row r="681">
      <c r="B681" s="21"/>
      <c r="F681" s="3"/>
      <c r="G681" s="3"/>
      <c r="H681" s="3"/>
      <c r="I681" s="3"/>
      <c r="L681" s="10"/>
    </row>
    <row r="682">
      <c r="B682" s="21"/>
      <c r="F682" s="3"/>
      <c r="G682" s="3"/>
      <c r="H682" s="3"/>
      <c r="I682" s="3"/>
      <c r="L682" s="10"/>
    </row>
    <row r="683">
      <c r="B683" s="21"/>
      <c r="F683" s="3"/>
      <c r="G683" s="3"/>
      <c r="H683" s="3"/>
      <c r="I683" s="3"/>
      <c r="L683" s="10"/>
    </row>
    <row r="684">
      <c r="B684" s="21"/>
      <c r="F684" s="3"/>
      <c r="G684" s="3"/>
      <c r="H684" s="3"/>
      <c r="I684" s="3"/>
      <c r="L684" s="10"/>
    </row>
    <row r="685">
      <c r="B685" s="21"/>
      <c r="F685" s="3"/>
      <c r="G685" s="3"/>
      <c r="H685" s="3"/>
      <c r="I685" s="3"/>
      <c r="L685" s="10"/>
    </row>
    <row r="686">
      <c r="B686" s="21"/>
      <c r="F686" s="3"/>
      <c r="G686" s="3"/>
      <c r="H686" s="3"/>
      <c r="I686" s="3"/>
      <c r="L686" s="10"/>
    </row>
    <row r="687">
      <c r="B687" s="21"/>
      <c r="F687" s="3"/>
      <c r="G687" s="3"/>
      <c r="H687" s="3"/>
      <c r="I687" s="3"/>
      <c r="L687" s="10"/>
    </row>
    <row r="688">
      <c r="B688" s="21"/>
      <c r="F688" s="3"/>
      <c r="G688" s="3"/>
      <c r="H688" s="3"/>
      <c r="I688" s="3"/>
      <c r="L688" s="10"/>
    </row>
    <row r="689">
      <c r="B689" s="21"/>
      <c r="F689" s="3"/>
      <c r="G689" s="3"/>
      <c r="H689" s="3"/>
      <c r="I689" s="3"/>
      <c r="L689" s="10"/>
    </row>
    <row r="690">
      <c r="B690" s="21"/>
      <c r="F690" s="3"/>
      <c r="G690" s="3"/>
      <c r="H690" s="3"/>
      <c r="I690" s="3"/>
      <c r="L690" s="10"/>
    </row>
    <row r="691">
      <c r="B691" s="21"/>
      <c r="F691" s="3"/>
      <c r="G691" s="3"/>
      <c r="H691" s="3"/>
      <c r="I691" s="3"/>
      <c r="L691" s="10"/>
    </row>
    <row r="692">
      <c r="B692" s="21"/>
      <c r="F692" s="3"/>
      <c r="G692" s="3"/>
      <c r="H692" s="3"/>
      <c r="I692" s="3"/>
      <c r="L692" s="10"/>
    </row>
    <row r="693">
      <c r="B693" s="21"/>
      <c r="F693" s="3"/>
      <c r="G693" s="3"/>
      <c r="H693" s="3"/>
      <c r="I693" s="3"/>
      <c r="L693" s="10"/>
    </row>
    <row r="694">
      <c r="B694" s="21"/>
      <c r="F694" s="3"/>
      <c r="G694" s="3"/>
      <c r="H694" s="3"/>
      <c r="I694" s="3"/>
      <c r="L694" s="10"/>
    </row>
    <row r="695">
      <c r="B695" s="21"/>
      <c r="F695" s="3"/>
      <c r="G695" s="3"/>
      <c r="H695" s="3"/>
      <c r="I695" s="3"/>
      <c r="L695" s="10"/>
    </row>
    <row r="696">
      <c r="B696" s="21"/>
      <c r="F696" s="3"/>
      <c r="G696" s="3"/>
      <c r="H696" s="3"/>
      <c r="I696" s="3"/>
      <c r="L696" s="10"/>
    </row>
    <row r="697">
      <c r="B697" s="21"/>
      <c r="F697" s="3"/>
      <c r="G697" s="3"/>
      <c r="H697" s="3"/>
      <c r="I697" s="3"/>
      <c r="L697" s="10"/>
    </row>
    <row r="698">
      <c r="B698" s="21"/>
      <c r="F698" s="3"/>
      <c r="G698" s="3"/>
      <c r="H698" s="3"/>
      <c r="I698" s="3"/>
      <c r="L698" s="10"/>
    </row>
    <row r="699">
      <c r="B699" s="21"/>
      <c r="F699" s="3"/>
      <c r="G699" s="3"/>
      <c r="H699" s="3"/>
      <c r="I699" s="3"/>
      <c r="L699" s="10"/>
    </row>
    <row r="700">
      <c r="B700" s="21"/>
      <c r="F700" s="3"/>
      <c r="G700" s="3"/>
      <c r="H700" s="3"/>
      <c r="I700" s="3"/>
      <c r="L700" s="10"/>
    </row>
    <row r="701">
      <c r="B701" s="21"/>
      <c r="F701" s="3"/>
      <c r="G701" s="3"/>
      <c r="H701" s="3"/>
      <c r="I701" s="3"/>
      <c r="L701" s="10"/>
    </row>
    <row r="702">
      <c r="B702" s="21"/>
      <c r="F702" s="3"/>
      <c r="G702" s="3"/>
      <c r="H702" s="3"/>
      <c r="I702" s="3"/>
      <c r="L702" s="10"/>
    </row>
    <row r="703">
      <c r="B703" s="21"/>
      <c r="F703" s="3"/>
      <c r="G703" s="3"/>
      <c r="H703" s="3"/>
      <c r="I703" s="3"/>
      <c r="L703" s="10"/>
    </row>
    <row r="704">
      <c r="B704" s="21"/>
      <c r="F704" s="3"/>
      <c r="G704" s="3"/>
      <c r="H704" s="3"/>
      <c r="I704" s="3"/>
      <c r="L704" s="10"/>
    </row>
    <row r="705">
      <c r="B705" s="21"/>
      <c r="F705" s="3"/>
      <c r="G705" s="3"/>
      <c r="H705" s="3"/>
      <c r="I705" s="3"/>
      <c r="L705" s="10"/>
    </row>
    <row r="706">
      <c r="B706" s="21"/>
      <c r="F706" s="3"/>
      <c r="G706" s="3"/>
      <c r="H706" s="3"/>
      <c r="I706" s="3"/>
      <c r="L706" s="10"/>
    </row>
    <row r="707">
      <c r="B707" s="21"/>
      <c r="F707" s="3"/>
      <c r="G707" s="3"/>
      <c r="H707" s="3"/>
      <c r="I707" s="3"/>
      <c r="L707" s="10"/>
    </row>
    <row r="708">
      <c r="B708" s="21"/>
      <c r="F708" s="3"/>
      <c r="G708" s="3"/>
      <c r="H708" s="3"/>
      <c r="I708" s="3"/>
      <c r="L708" s="10"/>
    </row>
    <row r="709">
      <c r="B709" s="21"/>
      <c r="F709" s="3"/>
      <c r="G709" s="3"/>
      <c r="H709" s="3"/>
      <c r="I709" s="3"/>
      <c r="L709" s="10"/>
    </row>
    <row r="710">
      <c r="B710" s="21"/>
      <c r="F710" s="3"/>
      <c r="G710" s="3"/>
      <c r="H710" s="3"/>
      <c r="I710" s="3"/>
      <c r="L710" s="10"/>
    </row>
    <row r="711">
      <c r="B711" s="21"/>
      <c r="F711" s="3"/>
      <c r="G711" s="3"/>
      <c r="H711" s="3"/>
      <c r="I711" s="3"/>
      <c r="L711" s="10"/>
    </row>
    <row r="712">
      <c r="B712" s="21"/>
      <c r="F712" s="3"/>
      <c r="G712" s="3"/>
      <c r="H712" s="3"/>
      <c r="I712" s="3"/>
      <c r="L712" s="10"/>
    </row>
    <row r="713">
      <c r="B713" s="21"/>
      <c r="F713" s="3"/>
      <c r="G713" s="3"/>
      <c r="H713" s="3"/>
      <c r="I713" s="3"/>
      <c r="L713" s="10"/>
    </row>
    <row r="714">
      <c r="B714" s="21"/>
      <c r="F714" s="3"/>
      <c r="G714" s="3"/>
      <c r="H714" s="3"/>
      <c r="I714" s="3"/>
      <c r="L714" s="10"/>
    </row>
    <row r="715">
      <c r="B715" s="21"/>
      <c r="F715" s="3"/>
      <c r="G715" s="3"/>
      <c r="H715" s="3"/>
      <c r="I715" s="3"/>
      <c r="L715" s="10"/>
    </row>
    <row r="716">
      <c r="B716" s="21"/>
      <c r="F716" s="3"/>
      <c r="G716" s="3"/>
      <c r="H716" s="3"/>
      <c r="I716" s="3"/>
      <c r="L716" s="10"/>
    </row>
    <row r="717">
      <c r="B717" s="21"/>
      <c r="F717" s="3"/>
      <c r="G717" s="3"/>
      <c r="H717" s="3"/>
      <c r="I717" s="3"/>
      <c r="L717" s="10"/>
    </row>
    <row r="718">
      <c r="B718" s="21"/>
      <c r="F718" s="3"/>
      <c r="G718" s="3"/>
      <c r="H718" s="3"/>
      <c r="I718" s="3"/>
      <c r="L718" s="10"/>
    </row>
    <row r="719">
      <c r="B719" s="21"/>
      <c r="F719" s="3"/>
      <c r="G719" s="3"/>
      <c r="H719" s="3"/>
      <c r="I719" s="3"/>
      <c r="L719" s="10"/>
    </row>
    <row r="720">
      <c r="B720" s="21"/>
      <c r="F720" s="3"/>
      <c r="G720" s="3"/>
      <c r="H720" s="3"/>
      <c r="I720" s="3"/>
      <c r="L720" s="10"/>
    </row>
    <row r="721">
      <c r="B721" s="21"/>
      <c r="F721" s="3"/>
      <c r="G721" s="3"/>
      <c r="H721" s="3"/>
      <c r="I721" s="3"/>
      <c r="L721" s="10"/>
    </row>
    <row r="722">
      <c r="B722" s="21"/>
      <c r="F722" s="3"/>
      <c r="G722" s="3"/>
      <c r="H722" s="3"/>
      <c r="I722" s="3"/>
      <c r="L722" s="10"/>
    </row>
    <row r="723">
      <c r="B723" s="21"/>
      <c r="F723" s="3"/>
      <c r="G723" s="3"/>
      <c r="H723" s="3"/>
      <c r="I723" s="3"/>
      <c r="L723" s="10"/>
    </row>
    <row r="724">
      <c r="B724" s="21"/>
      <c r="F724" s="3"/>
      <c r="G724" s="3"/>
      <c r="H724" s="3"/>
      <c r="I724" s="3"/>
      <c r="L724" s="10"/>
    </row>
    <row r="725">
      <c r="B725" s="21"/>
      <c r="F725" s="3"/>
      <c r="G725" s="3"/>
      <c r="H725" s="3"/>
      <c r="I725" s="3"/>
      <c r="L725" s="10"/>
    </row>
    <row r="726">
      <c r="B726" s="21"/>
      <c r="F726" s="3"/>
      <c r="G726" s="3"/>
      <c r="H726" s="3"/>
      <c r="I726" s="3"/>
      <c r="L726" s="10"/>
    </row>
    <row r="727">
      <c r="B727" s="21"/>
      <c r="F727" s="3"/>
      <c r="G727" s="3"/>
      <c r="H727" s="3"/>
      <c r="I727" s="3"/>
      <c r="L727" s="10"/>
    </row>
    <row r="728">
      <c r="B728" s="21"/>
      <c r="F728" s="3"/>
      <c r="G728" s="3"/>
      <c r="H728" s="3"/>
      <c r="I728" s="3"/>
      <c r="L728" s="10"/>
    </row>
    <row r="729">
      <c r="B729" s="21"/>
      <c r="F729" s="3"/>
      <c r="G729" s="3"/>
      <c r="H729" s="3"/>
      <c r="I729" s="3"/>
      <c r="L729" s="10"/>
    </row>
    <row r="730">
      <c r="B730" s="21"/>
      <c r="F730" s="3"/>
      <c r="G730" s="3"/>
      <c r="H730" s="3"/>
      <c r="I730" s="3"/>
      <c r="L730" s="10"/>
    </row>
    <row r="731">
      <c r="B731" s="21"/>
      <c r="F731" s="3"/>
      <c r="G731" s="3"/>
      <c r="H731" s="3"/>
      <c r="I731" s="3"/>
      <c r="L731" s="10"/>
    </row>
    <row r="732">
      <c r="B732" s="21"/>
      <c r="F732" s="3"/>
      <c r="G732" s="3"/>
      <c r="H732" s="3"/>
      <c r="I732" s="3"/>
      <c r="L732" s="10"/>
    </row>
    <row r="733">
      <c r="B733" s="21"/>
      <c r="F733" s="3"/>
      <c r="G733" s="3"/>
      <c r="H733" s="3"/>
      <c r="I733" s="3"/>
      <c r="L733" s="10"/>
    </row>
    <row r="734">
      <c r="B734" s="21"/>
      <c r="F734" s="3"/>
      <c r="G734" s="3"/>
      <c r="H734" s="3"/>
      <c r="I734" s="3"/>
      <c r="L734" s="10"/>
    </row>
    <row r="735">
      <c r="B735" s="21"/>
      <c r="F735" s="3"/>
      <c r="G735" s="3"/>
      <c r="H735" s="3"/>
      <c r="I735" s="3"/>
      <c r="L735" s="10"/>
    </row>
    <row r="736">
      <c r="B736" s="21"/>
      <c r="F736" s="3"/>
      <c r="G736" s="3"/>
      <c r="H736" s="3"/>
      <c r="I736" s="3"/>
      <c r="L736" s="10"/>
    </row>
    <row r="737">
      <c r="B737" s="21"/>
      <c r="F737" s="3"/>
      <c r="G737" s="3"/>
      <c r="H737" s="3"/>
      <c r="I737" s="3"/>
      <c r="L737" s="10"/>
    </row>
    <row r="738">
      <c r="B738" s="21"/>
      <c r="F738" s="3"/>
      <c r="G738" s="3"/>
      <c r="H738" s="3"/>
      <c r="I738" s="3"/>
      <c r="L738" s="10"/>
    </row>
    <row r="739">
      <c r="B739" s="21"/>
      <c r="F739" s="3"/>
      <c r="G739" s="3"/>
      <c r="H739" s="3"/>
      <c r="I739" s="3"/>
      <c r="L739" s="10"/>
    </row>
    <row r="740">
      <c r="B740" s="21"/>
      <c r="F740" s="3"/>
      <c r="G740" s="3"/>
      <c r="H740" s="3"/>
      <c r="I740" s="3"/>
      <c r="L740" s="10"/>
    </row>
    <row r="741">
      <c r="B741" s="21"/>
      <c r="F741" s="3"/>
      <c r="G741" s="3"/>
      <c r="H741" s="3"/>
      <c r="I741" s="3"/>
      <c r="L741" s="10"/>
    </row>
    <row r="742">
      <c r="B742" s="21"/>
      <c r="F742" s="3"/>
      <c r="G742" s="3"/>
      <c r="H742" s="3"/>
      <c r="I742" s="3"/>
      <c r="L742" s="10"/>
    </row>
    <row r="743">
      <c r="B743" s="21"/>
      <c r="F743" s="3"/>
      <c r="G743" s="3"/>
      <c r="H743" s="3"/>
      <c r="I743" s="3"/>
      <c r="L743" s="10"/>
    </row>
    <row r="744">
      <c r="B744" s="21"/>
      <c r="F744" s="3"/>
      <c r="G744" s="3"/>
      <c r="H744" s="3"/>
      <c r="I744" s="3"/>
      <c r="L744" s="10"/>
    </row>
    <row r="745">
      <c r="B745" s="21"/>
      <c r="F745" s="3"/>
      <c r="G745" s="3"/>
      <c r="H745" s="3"/>
      <c r="I745" s="3"/>
      <c r="L745" s="10"/>
    </row>
    <row r="746">
      <c r="B746" s="21"/>
      <c r="F746" s="3"/>
      <c r="G746" s="3"/>
      <c r="H746" s="3"/>
      <c r="I746" s="3"/>
      <c r="L746" s="10"/>
    </row>
    <row r="747">
      <c r="B747" s="21"/>
      <c r="F747" s="3"/>
      <c r="G747" s="3"/>
      <c r="H747" s="3"/>
      <c r="I747" s="3"/>
      <c r="L747" s="10"/>
    </row>
    <row r="748">
      <c r="B748" s="21"/>
      <c r="F748" s="3"/>
      <c r="G748" s="3"/>
      <c r="H748" s="3"/>
      <c r="I748" s="3"/>
      <c r="L748" s="10"/>
    </row>
    <row r="749">
      <c r="B749" s="21"/>
      <c r="F749" s="3"/>
      <c r="G749" s="3"/>
      <c r="H749" s="3"/>
      <c r="I749" s="3"/>
      <c r="L749" s="10"/>
    </row>
    <row r="750">
      <c r="B750" s="21"/>
      <c r="F750" s="3"/>
      <c r="G750" s="3"/>
      <c r="H750" s="3"/>
      <c r="I750" s="3"/>
      <c r="L750" s="10"/>
    </row>
    <row r="751">
      <c r="B751" s="21"/>
      <c r="F751" s="3"/>
      <c r="G751" s="3"/>
      <c r="H751" s="3"/>
      <c r="I751" s="3"/>
      <c r="L751" s="10"/>
    </row>
    <row r="752">
      <c r="B752" s="21"/>
      <c r="F752" s="3"/>
      <c r="G752" s="3"/>
      <c r="H752" s="3"/>
      <c r="I752" s="3"/>
      <c r="L752" s="10"/>
    </row>
    <row r="753">
      <c r="B753" s="21"/>
      <c r="F753" s="3"/>
      <c r="G753" s="3"/>
      <c r="H753" s="3"/>
      <c r="I753" s="3"/>
      <c r="L753" s="10"/>
    </row>
    <row r="754">
      <c r="B754" s="21"/>
      <c r="F754" s="3"/>
      <c r="G754" s="3"/>
      <c r="H754" s="3"/>
      <c r="I754" s="3"/>
      <c r="L754" s="10"/>
    </row>
    <row r="755">
      <c r="B755" s="21"/>
      <c r="F755" s="3"/>
      <c r="G755" s="3"/>
      <c r="H755" s="3"/>
      <c r="I755" s="3"/>
      <c r="L755" s="10"/>
    </row>
    <row r="756">
      <c r="B756" s="21"/>
      <c r="F756" s="3"/>
      <c r="G756" s="3"/>
      <c r="H756" s="3"/>
      <c r="I756" s="3"/>
      <c r="L756" s="10"/>
    </row>
    <row r="757">
      <c r="B757" s="21"/>
      <c r="F757" s="3"/>
      <c r="G757" s="3"/>
      <c r="H757" s="3"/>
      <c r="I757" s="3"/>
      <c r="L757" s="10"/>
    </row>
    <row r="758">
      <c r="B758" s="21"/>
      <c r="F758" s="3"/>
      <c r="G758" s="3"/>
      <c r="H758" s="3"/>
      <c r="I758" s="3"/>
      <c r="L758" s="10"/>
    </row>
    <row r="759">
      <c r="B759" s="21"/>
      <c r="F759" s="3"/>
      <c r="G759" s="3"/>
      <c r="H759" s="3"/>
      <c r="I759" s="3"/>
      <c r="L759" s="10"/>
    </row>
    <row r="760">
      <c r="B760" s="21"/>
      <c r="F760" s="3"/>
      <c r="G760" s="3"/>
      <c r="H760" s="3"/>
      <c r="I760" s="3"/>
      <c r="L760" s="10"/>
    </row>
    <row r="761">
      <c r="B761" s="21"/>
      <c r="F761" s="3"/>
      <c r="G761" s="3"/>
      <c r="H761" s="3"/>
      <c r="I761" s="3"/>
      <c r="L761" s="10"/>
    </row>
    <row r="762">
      <c r="B762" s="21"/>
      <c r="F762" s="3"/>
      <c r="G762" s="3"/>
      <c r="H762" s="3"/>
      <c r="I762" s="3"/>
      <c r="L762" s="10"/>
    </row>
    <row r="763">
      <c r="B763" s="21"/>
      <c r="F763" s="3"/>
      <c r="G763" s="3"/>
      <c r="H763" s="3"/>
      <c r="I763" s="3"/>
      <c r="L763" s="10"/>
    </row>
    <row r="764">
      <c r="B764" s="21"/>
      <c r="F764" s="3"/>
      <c r="G764" s="3"/>
      <c r="H764" s="3"/>
      <c r="I764" s="3"/>
      <c r="L764" s="10"/>
    </row>
    <row r="765">
      <c r="B765" s="21"/>
      <c r="F765" s="3"/>
      <c r="G765" s="3"/>
      <c r="H765" s="3"/>
      <c r="I765" s="3"/>
      <c r="L765" s="10"/>
    </row>
    <row r="766">
      <c r="B766" s="21"/>
      <c r="F766" s="3"/>
      <c r="G766" s="3"/>
      <c r="H766" s="3"/>
      <c r="I766" s="3"/>
      <c r="L766" s="10"/>
    </row>
    <row r="767">
      <c r="B767" s="21"/>
      <c r="F767" s="3"/>
      <c r="G767" s="3"/>
      <c r="H767" s="3"/>
      <c r="I767" s="3"/>
      <c r="L767" s="10"/>
    </row>
    <row r="768">
      <c r="B768" s="21"/>
      <c r="F768" s="3"/>
      <c r="G768" s="3"/>
      <c r="H768" s="3"/>
      <c r="I768" s="3"/>
      <c r="L768" s="10"/>
    </row>
    <row r="769">
      <c r="B769" s="21"/>
      <c r="F769" s="3"/>
      <c r="G769" s="3"/>
      <c r="H769" s="3"/>
      <c r="I769" s="3"/>
      <c r="L769" s="10"/>
    </row>
    <row r="770">
      <c r="B770" s="21"/>
      <c r="F770" s="3"/>
      <c r="G770" s="3"/>
      <c r="H770" s="3"/>
      <c r="I770" s="3"/>
      <c r="L770" s="10"/>
    </row>
    <row r="771">
      <c r="B771" s="21"/>
      <c r="F771" s="3"/>
      <c r="G771" s="3"/>
      <c r="H771" s="3"/>
      <c r="I771" s="3"/>
      <c r="L771" s="10"/>
    </row>
    <row r="772">
      <c r="B772" s="21"/>
      <c r="F772" s="3"/>
      <c r="G772" s="3"/>
      <c r="H772" s="3"/>
      <c r="I772" s="3"/>
      <c r="L772" s="10"/>
    </row>
    <row r="773">
      <c r="B773" s="21"/>
      <c r="F773" s="3"/>
      <c r="G773" s="3"/>
      <c r="H773" s="3"/>
      <c r="I773" s="3"/>
      <c r="L773" s="10"/>
    </row>
    <row r="774">
      <c r="B774" s="21"/>
      <c r="F774" s="3"/>
      <c r="G774" s="3"/>
      <c r="H774" s="3"/>
      <c r="I774" s="3"/>
      <c r="L774" s="10"/>
    </row>
    <row r="775">
      <c r="B775" s="21"/>
      <c r="F775" s="3"/>
      <c r="G775" s="3"/>
      <c r="H775" s="3"/>
      <c r="I775" s="3"/>
      <c r="L775" s="10"/>
    </row>
    <row r="776">
      <c r="B776" s="21"/>
      <c r="F776" s="3"/>
      <c r="G776" s="3"/>
      <c r="H776" s="3"/>
      <c r="I776" s="3"/>
      <c r="L776" s="10"/>
    </row>
    <row r="777">
      <c r="B777" s="21"/>
      <c r="F777" s="3"/>
      <c r="G777" s="3"/>
      <c r="H777" s="3"/>
      <c r="I777" s="3"/>
      <c r="L777" s="10"/>
    </row>
    <row r="778">
      <c r="B778" s="21"/>
      <c r="F778" s="3"/>
      <c r="G778" s="3"/>
      <c r="H778" s="3"/>
      <c r="I778" s="3"/>
      <c r="L778" s="10"/>
    </row>
    <row r="779">
      <c r="B779" s="21"/>
      <c r="F779" s="3"/>
      <c r="G779" s="3"/>
      <c r="H779" s="3"/>
      <c r="I779" s="3"/>
      <c r="L779" s="10"/>
    </row>
    <row r="780">
      <c r="B780" s="21"/>
      <c r="F780" s="3"/>
      <c r="G780" s="3"/>
      <c r="H780" s="3"/>
      <c r="I780" s="3"/>
      <c r="L780" s="10"/>
    </row>
    <row r="781">
      <c r="B781" s="21"/>
      <c r="F781" s="3"/>
      <c r="G781" s="3"/>
      <c r="H781" s="3"/>
      <c r="I781" s="3"/>
      <c r="L781" s="10"/>
    </row>
    <row r="782">
      <c r="B782" s="21"/>
      <c r="F782" s="3"/>
      <c r="G782" s="3"/>
      <c r="H782" s="3"/>
      <c r="I782" s="3"/>
      <c r="L782" s="10"/>
    </row>
    <row r="783">
      <c r="B783" s="21"/>
      <c r="F783" s="3"/>
      <c r="G783" s="3"/>
      <c r="H783" s="3"/>
      <c r="I783" s="3"/>
      <c r="L783" s="10"/>
    </row>
    <row r="784">
      <c r="B784" s="21"/>
      <c r="F784" s="3"/>
      <c r="G784" s="3"/>
      <c r="H784" s="3"/>
      <c r="I784" s="3"/>
      <c r="L784" s="10"/>
    </row>
    <row r="785">
      <c r="B785" s="21"/>
      <c r="F785" s="3"/>
      <c r="G785" s="3"/>
      <c r="H785" s="3"/>
      <c r="I785" s="3"/>
      <c r="L785" s="10"/>
    </row>
    <row r="786">
      <c r="B786" s="21"/>
      <c r="F786" s="3"/>
      <c r="G786" s="3"/>
      <c r="H786" s="3"/>
      <c r="I786" s="3"/>
      <c r="L786" s="10"/>
    </row>
    <row r="787">
      <c r="B787" s="21"/>
      <c r="F787" s="3"/>
      <c r="G787" s="3"/>
      <c r="H787" s="3"/>
      <c r="I787" s="3"/>
      <c r="L787" s="10"/>
    </row>
    <row r="788">
      <c r="B788" s="21"/>
      <c r="F788" s="3"/>
      <c r="G788" s="3"/>
      <c r="H788" s="3"/>
      <c r="I788" s="3"/>
      <c r="L788" s="10"/>
    </row>
    <row r="789">
      <c r="B789" s="21"/>
      <c r="F789" s="3"/>
      <c r="G789" s="3"/>
      <c r="H789" s="3"/>
      <c r="I789" s="3"/>
      <c r="L789" s="10"/>
    </row>
    <row r="790">
      <c r="B790" s="21"/>
      <c r="F790" s="3"/>
      <c r="G790" s="3"/>
      <c r="H790" s="3"/>
      <c r="I790" s="3"/>
      <c r="L790" s="10"/>
    </row>
    <row r="791">
      <c r="B791" s="21"/>
      <c r="F791" s="3"/>
      <c r="G791" s="3"/>
      <c r="H791" s="3"/>
      <c r="I791" s="3"/>
      <c r="L791" s="10"/>
    </row>
    <row r="792">
      <c r="B792" s="21"/>
      <c r="F792" s="3"/>
      <c r="G792" s="3"/>
      <c r="H792" s="3"/>
      <c r="I792" s="3"/>
      <c r="L792" s="10"/>
    </row>
    <row r="793">
      <c r="B793" s="21"/>
      <c r="F793" s="3"/>
      <c r="G793" s="3"/>
      <c r="H793" s="3"/>
      <c r="I793" s="3"/>
      <c r="L793" s="10"/>
    </row>
    <row r="794">
      <c r="B794" s="21"/>
      <c r="F794" s="3"/>
      <c r="G794" s="3"/>
      <c r="H794" s="3"/>
      <c r="I794" s="3"/>
      <c r="L794" s="10"/>
    </row>
    <row r="795">
      <c r="B795" s="21"/>
      <c r="F795" s="3"/>
      <c r="G795" s="3"/>
      <c r="H795" s="3"/>
      <c r="I795" s="3"/>
      <c r="L795" s="10"/>
    </row>
    <row r="796">
      <c r="B796" s="21"/>
      <c r="F796" s="3"/>
      <c r="G796" s="3"/>
      <c r="H796" s="3"/>
      <c r="I796" s="3"/>
      <c r="L796" s="10"/>
    </row>
    <row r="797">
      <c r="B797" s="21"/>
      <c r="F797" s="3"/>
      <c r="G797" s="3"/>
      <c r="H797" s="3"/>
      <c r="I797" s="3"/>
      <c r="L797" s="10"/>
    </row>
    <row r="798">
      <c r="B798" s="21"/>
      <c r="F798" s="3"/>
      <c r="G798" s="3"/>
      <c r="H798" s="3"/>
      <c r="I798" s="3"/>
      <c r="L798" s="10"/>
    </row>
    <row r="799">
      <c r="B799" s="21"/>
      <c r="F799" s="3"/>
      <c r="G799" s="3"/>
      <c r="H799" s="3"/>
      <c r="I799" s="3"/>
      <c r="L799" s="10"/>
    </row>
    <row r="800">
      <c r="B800" s="21"/>
      <c r="F800" s="3"/>
      <c r="G800" s="3"/>
      <c r="H800" s="3"/>
      <c r="I800" s="3"/>
      <c r="L800" s="10"/>
    </row>
    <row r="801">
      <c r="B801" s="21"/>
      <c r="F801" s="3"/>
      <c r="G801" s="3"/>
      <c r="H801" s="3"/>
      <c r="I801" s="3"/>
      <c r="L801" s="10"/>
    </row>
    <row r="802">
      <c r="B802" s="21"/>
      <c r="F802" s="3"/>
      <c r="G802" s="3"/>
      <c r="H802" s="3"/>
      <c r="I802" s="3"/>
      <c r="L802" s="10"/>
    </row>
    <row r="803">
      <c r="B803" s="21"/>
      <c r="F803" s="3"/>
      <c r="G803" s="3"/>
      <c r="H803" s="3"/>
      <c r="I803" s="3"/>
      <c r="L803" s="10"/>
    </row>
    <row r="804">
      <c r="B804" s="21"/>
      <c r="F804" s="3"/>
      <c r="G804" s="3"/>
      <c r="H804" s="3"/>
      <c r="I804" s="3"/>
      <c r="L804" s="10"/>
    </row>
    <row r="805">
      <c r="B805" s="21"/>
      <c r="F805" s="3"/>
      <c r="G805" s="3"/>
      <c r="H805" s="3"/>
      <c r="I805" s="3"/>
      <c r="L805" s="10"/>
    </row>
    <row r="806">
      <c r="B806" s="21"/>
      <c r="F806" s="3"/>
      <c r="G806" s="3"/>
      <c r="H806" s="3"/>
      <c r="I806" s="3"/>
      <c r="L806" s="10"/>
    </row>
    <row r="807">
      <c r="B807" s="21"/>
      <c r="F807" s="3"/>
      <c r="G807" s="3"/>
      <c r="H807" s="3"/>
      <c r="I807" s="3"/>
      <c r="L807" s="10"/>
    </row>
    <row r="808">
      <c r="B808" s="21"/>
      <c r="F808" s="3"/>
      <c r="G808" s="3"/>
      <c r="H808" s="3"/>
      <c r="I808" s="3"/>
      <c r="L808" s="10"/>
    </row>
    <row r="809">
      <c r="B809" s="21"/>
      <c r="F809" s="3"/>
      <c r="G809" s="3"/>
      <c r="H809" s="3"/>
      <c r="I809" s="3"/>
      <c r="L809" s="10"/>
    </row>
    <row r="810">
      <c r="B810" s="21"/>
      <c r="F810" s="3"/>
      <c r="G810" s="3"/>
      <c r="H810" s="3"/>
      <c r="I810" s="3"/>
      <c r="L810" s="10"/>
    </row>
    <row r="811">
      <c r="B811" s="21"/>
      <c r="F811" s="3"/>
      <c r="G811" s="3"/>
      <c r="H811" s="3"/>
      <c r="I811" s="3"/>
      <c r="L811" s="10"/>
    </row>
    <row r="812">
      <c r="B812" s="21"/>
      <c r="F812" s="3"/>
      <c r="G812" s="3"/>
      <c r="H812" s="3"/>
      <c r="I812" s="3"/>
      <c r="L812" s="10"/>
    </row>
    <row r="813">
      <c r="B813" s="21"/>
      <c r="F813" s="3"/>
      <c r="G813" s="3"/>
      <c r="H813" s="3"/>
      <c r="I813" s="3"/>
      <c r="L813" s="10"/>
    </row>
    <row r="814">
      <c r="B814" s="21"/>
      <c r="F814" s="3"/>
      <c r="G814" s="3"/>
      <c r="H814" s="3"/>
      <c r="I814" s="3"/>
      <c r="L814" s="10"/>
    </row>
    <row r="815">
      <c r="B815" s="21"/>
      <c r="F815" s="3"/>
      <c r="G815" s="3"/>
      <c r="H815" s="3"/>
      <c r="I815" s="3"/>
      <c r="L815" s="10"/>
    </row>
    <row r="816">
      <c r="B816" s="21"/>
      <c r="F816" s="3"/>
      <c r="G816" s="3"/>
      <c r="H816" s="3"/>
      <c r="I816" s="3"/>
      <c r="L816" s="10"/>
    </row>
    <row r="817">
      <c r="B817" s="21"/>
      <c r="F817" s="3"/>
      <c r="G817" s="3"/>
      <c r="H817" s="3"/>
      <c r="I817" s="3"/>
      <c r="L817" s="10"/>
    </row>
    <row r="818">
      <c r="B818" s="21"/>
      <c r="F818" s="3"/>
      <c r="G818" s="3"/>
      <c r="H818" s="3"/>
      <c r="I818" s="3"/>
      <c r="L818" s="10"/>
    </row>
    <row r="819">
      <c r="B819" s="21"/>
      <c r="F819" s="3"/>
      <c r="G819" s="3"/>
      <c r="H819" s="3"/>
      <c r="I819" s="3"/>
      <c r="L819" s="10"/>
    </row>
    <row r="820">
      <c r="B820" s="21"/>
      <c r="F820" s="3"/>
      <c r="G820" s="3"/>
      <c r="H820" s="3"/>
      <c r="I820" s="3"/>
      <c r="L820" s="10"/>
    </row>
    <row r="821">
      <c r="B821" s="21"/>
      <c r="F821" s="3"/>
      <c r="G821" s="3"/>
      <c r="H821" s="3"/>
      <c r="I821" s="3"/>
      <c r="L821" s="10"/>
    </row>
    <row r="822">
      <c r="B822" s="21"/>
      <c r="F822" s="3"/>
      <c r="G822" s="3"/>
      <c r="H822" s="3"/>
      <c r="I822" s="3"/>
      <c r="L822" s="10"/>
    </row>
    <row r="823">
      <c r="B823" s="21"/>
      <c r="F823" s="3"/>
      <c r="G823" s="3"/>
      <c r="H823" s="3"/>
      <c r="I823" s="3"/>
      <c r="L823" s="10"/>
    </row>
    <row r="824">
      <c r="B824" s="21"/>
      <c r="F824" s="3"/>
      <c r="G824" s="3"/>
      <c r="H824" s="3"/>
      <c r="I824" s="3"/>
      <c r="L824" s="10"/>
    </row>
    <row r="825">
      <c r="B825" s="21"/>
      <c r="F825" s="3"/>
      <c r="G825" s="3"/>
      <c r="H825" s="3"/>
      <c r="I825" s="3"/>
      <c r="L825" s="10"/>
    </row>
    <row r="826">
      <c r="B826" s="21"/>
      <c r="F826" s="3"/>
      <c r="G826" s="3"/>
      <c r="H826" s="3"/>
      <c r="I826" s="3"/>
      <c r="L826" s="10"/>
    </row>
    <row r="827">
      <c r="B827" s="21"/>
      <c r="F827" s="3"/>
      <c r="G827" s="3"/>
      <c r="H827" s="3"/>
      <c r="I827" s="3"/>
      <c r="L827" s="10"/>
    </row>
    <row r="828">
      <c r="B828" s="21"/>
      <c r="F828" s="3"/>
      <c r="G828" s="3"/>
      <c r="H828" s="3"/>
      <c r="I828" s="3"/>
      <c r="L828" s="10"/>
    </row>
    <row r="829">
      <c r="B829" s="21"/>
      <c r="F829" s="3"/>
      <c r="G829" s="3"/>
      <c r="H829" s="3"/>
      <c r="I829" s="3"/>
      <c r="L829" s="10"/>
    </row>
    <row r="830">
      <c r="B830" s="21"/>
      <c r="F830" s="3"/>
      <c r="G830" s="3"/>
      <c r="H830" s="3"/>
      <c r="I830" s="3"/>
      <c r="L830" s="10"/>
    </row>
    <row r="831">
      <c r="B831" s="21"/>
      <c r="F831" s="3"/>
      <c r="G831" s="3"/>
      <c r="H831" s="3"/>
      <c r="I831" s="3"/>
      <c r="L831" s="10"/>
    </row>
    <row r="832">
      <c r="B832" s="21"/>
      <c r="F832" s="3"/>
      <c r="G832" s="3"/>
      <c r="H832" s="3"/>
      <c r="I832" s="3"/>
      <c r="L832" s="10"/>
    </row>
    <row r="833">
      <c r="B833" s="21"/>
      <c r="F833" s="3"/>
      <c r="G833" s="3"/>
      <c r="H833" s="3"/>
      <c r="I833" s="3"/>
      <c r="L833" s="10"/>
    </row>
    <row r="834">
      <c r="B834" s="21"/>
      <c r="F834" s="3"/>
      <c r="G834" s="3"/>
      <c r="H834" s="3"/>
      <c r="I834" s="3"/>
      <c r="L834" s="10"/>
    </row>
    <row r="835">
      <c r="B835" s="21"/>
      <c r="F835" s="3"/>
      <c r="G835" s="3"/>
      <c r="H835" s="3"/>
      <c r="I835" s="3"/>
      <c r="L835" s="10"/>
    </row>
    <row r="836">
      <c r="B836" s="21"/>
      <c r="F836" s="3"/>
      <c r="G836" s="3"/>
      <c r="H836" s="3"/>
      <c r="I836" s="3"/>
      <c r="L836" s="10"/>
    </row>
    <row r="837">
      <c r="B837" s="21"/>
      <c r="F837" s="3"/>
      <c r="G837" s="3"/>
      <c r="H837" s="3"/>
      <c r="I837" s="3"/>
      <c r="L837" s="10"/>
    </row>
    <row r="838">
      <c r="B838" s="21"/>
      <c r="F838" s="3"/>
      <c r="G838" s="3"/>
      <c r="H838" s="3"/>
      <c r="I838" s="3"/>
      <c r="L838" s="10"/>
    </row>
    <row r="839">
      <c r="B839" s="21"/>
      <c r="F839" s="3"/>
      <c r="G839" s="3"/>
      <c r="H839" s="3"/>
      <c r="I839" s="3"/>
      <c r="L839" s="10"/>
    </row>
    <row r="840">
      <c r="B840" s="21"/>
      <c r="F840" s="3"/>
      <c r="G840" s="3"/>
      <c r="H840" s="3"/>
      <c r="I840" s="3"/>
      <c r="L840" s="10"/>
    </row>
    <row r="841">
      <c r="B841" s="21"/>
      <c r="F841" s="3"/>
      <c r="G841" s="3"/>
      <c r="H841" s="3"/>
      <c r="I841" s="3"/>
      <c r="L841" s="10"/>
    </row>
    <row r="842">
      <c r="B842" s="21"/>
      <c r="F842" s="3"/>
      <c r="G842" s="3"/>
      <c r="H842" s="3"/>
      <c r="I842" s="3"/>
      <c r="L842" s="10"/>
    </row>
    <row r="843">
      <c r="B843" s="21"/>
      <c r="F843" s="3"/>
      <c r="G843" s="3"/>
      <c r="H843" s="3"/>
      <c r="I843" s="3"/>
      <c r="L843" s="10"/>
    </row>
    <row r="844">
      <c r="B844" s="21"/>
      <c r="F844" s="3"/>
      <c r="G844" s="3"/>
      <c r="H844" s="3"/>
      <c r="I844" s="3"/>
      <c r="L844" s="10"/>
    </row>
    <row r="845">
      <c r="B845" s="21"/>
      <c r="F845" s="3"/>
      <c r="G845" s="3"/>
      <c r="H845" s="3"/>
      <c r="I845" s="3"/>
      <c r="L845" s="10"/>
    </row>
    <row r="846">
      <c r="B846" s="21"/>
      <c r="F846" s="3"/>
      <c r="G846" s="3"/>
      <c r="H846" s="3"/>
      <c r="I846" s="3"/>
      <c r="L846" s="10"/>
    </row>
    <row r="847">
      <c r="B847" s="21"/>
      <c r="F847" s="3"/>
      <c r="G847" s="3"/>
      <c r="H847" s="3"/>
      <c r="I847" s="3"/>
      <c r="L847" s="10"/>
    </row>
    <row r="848">
      <c r="B848" s="21"/>
      <c r="F848" s="3"/>
      <c r="G848" s="3"/>
      <c r="H848" s="3"/>
      <c r="I848" s="3"/>
      <c r="L848" s="10"/>
    </row>
    <row r="849">
      <c r="B849" s="21"/>
      <c r="F849" s="3"/>
      <c r="G849" s="3"/>
      <c r="H849" s="3"/>
      <c r="I849" s="3"/>
      <c r="L849" s="10"/>
    </row>
    <row r="850">
      <c r="B850" s="21"/>
      <c r="F850" s="3"/>
      <c r="G850" s="3"/>
      <c r="H850" s="3"/>
      <c r="I850" s="3"/>
      <c r="L850" s="10"/>
    </row>
    <row r="851">
      <c r="B851" s="21"/>
      <c r="F851" s="3"/>
      <c r="G851" s="3"/>
      <c r="H851" s="3"/>
      <c r="I851" s="3"/>
      <c r="L851" s="10"/>
    </row>
    <row r="852">
      <c r="B852" s="21"/>
      <c r="F852" s="3"/>
      <c r="G852" s="3"/>
      <c r="H852" s="3"/>
      <c r="I852" s="3"/>
      <c r="L852" s="10"/>
    </row>
    <row r="853">
      <c r="B853" s="21"/>
      <c r="F853" s="3"/>
      <c r="G853" s="3"/>
      <c r="H853" s="3"/>
      <c r="I853" s="3"/>
      <c r="L853" s="10"/>
    </row>
    <row r="854">
      <c r="B854" s="21"/>
      <c r="F854" s="3"/>
      <c r="G854" s="3"/>
      <c r="H854" s="3"/>
      <c r="I854" s="3"/>
      <c r="L854" s="10"/>
    </row>
    <row r="855">
      <c r="B855" s="21"/>
      <c r="F855" s="3"/>
      <c r="G855" s="3"/>
      <c r="H855" s="3"/>
      <c r="I855" s="3"/>
      <c r="L855" s="10"/>
    </row>
    <row r="856">
      <c r="B856" s="21"/>
      <c r="F856" s="3"/>
      <c r="G856" s="3"/>
      <c r="H856" s="3"/>
      <c r="I856" s="3"/>
      <c r="L856" s="10"/>
    </row>
    <row r="857">
      <c r="B857" s="21"/>
      <c r="F857" s="3"/>
      <c r="G857" s="3"/>
      <c r="H857" s="3"/>
      <c r="I857" s="3"/>
      <c r="L857" s="10"/>
    </row>
    <row r="858">
      <c r="B858" s="21"/>
      <c r="F858" s="3"/>
      <c r="G858" s="3"/>
      <c r="H858" s="3"/>
      <c r="I858" s="3"/>
      <c r="L858" s="10"/>
    </row>
    <row r="859">
      <c r="B859" s="21"/>
      <c r="F859" s="3"/>
      <c r="G859" s="3"/>
      <c r="H859" s="3"/>
      <c r="I859" s="3"/>
      <c r="L859" s="10"/>
    </row>
    <row r="860">
      <c r="B860" s="21"/>
      <c r="F860" s="3"/>
      <c r="G860" s="3"/>
      <c r="H860" s="3"/>
      <c r="I860" s="3"/>
      <c r="L860" s="10"/>
    </row>
    <row r="861">
      <c r="B861" s="21"/>
      <c r="F861" s="3"/>
      <c r="G861" s="3"/>
      <c r="H861" s="3"/>
      <c r="I861" s="3"/>
      <c r="L861" s="10"/>
    </row>
    <row r="862">
      <c r="B862" s="21"/>
      <c r="F862" s="3"/>
      <c r="G862" s="3"/>
      <c r="H862" s="3"/>
      <c r="I862" s="3"/>
      <c r="L862" s="10"/>
    </row>
    <row r="863">
      <c r="B863" s="21"/>
      <c r="F863" s="3"/>
      <c r="G863" s="3"/>
      <c r="H863" s="3"/>
      <c r="I863" s="3"/>
      <c r="L863" s="10"/>
    </row>
    <row r="864">
      <c r="B864" s="21"/>
      <c r="F864" s="3"/>
      <c r="G864" s="3"/>
      <c r="H864" s="3"/>
      <c r="I864" s="3"/>
      <c r="L864" s="10"/>
    </row>
    <row r="865">
      <c r="B865" s="21"/>
      <c r="F865" s="3"/>
      <c r="G865" s="3"/>
      <c r="H865" s="3"/>
      <c r="I865" s="3"/>
      <c r="L865" s="10"/>
    </row>
    <row r="866">
      <c r="B866" s="21"/>
      <c r="F866" s="3"/>
      <c r="G866" s="3"/>
      <c r="H866" s="3"/>
      <c r="I866" s="3"/>
      <c r="L866" s="10"/>
    </row>
    <row r="867">
      <c r="B867" s="21"/>
      <c r="F867" s="3"/>
      <c r="G867" s="3"/>
      <c r="H867" s="3"/>
      <c r="I867" s="3"/>
      <c r="L867" s="10"/>
    </row>
    <row r="868">
      <c r="B868" s="21"/>
      <c r="F868" s="3"/>
      <c r="G868" s="3"/>
      <c r="H868" s="3"/>
      <c r="I868" s="3"/>
      <c r="L868" s="10"/>
    </row>
    <row r="869">
      <c r="B869" s="21"/>
      <c r="F869" s="3"/>
      <c r="G869" s="3"/>
      <c r="H869" s="3"/>
      <c r="I869" s="3"/>
      <c r="L869" s="10"/>
    </row>
    <row r="870">
      <c r="B870" s="21"/>
      <c r="F870" s="3"/>
      <c r="G870" s="3"/>
      <c r="H870" s="3"/>
      <c r="I870" s="3"/>
      <c r="L870" s="10"/>
    </row>
    <row r="871">
      <c r="B871" s="21"/>
      <c r="F871" s="3"/>
      <c r="G871" s="3"/>
      <c r="H871" s="3"/>
      <c r="I871" s="3"/>
      <c r="L871" s="10"/>
    </row>
    <row r="872">
      <c r="B872" s="21"/>
      <c r="F872" s="3"/>
      <c r="G872" s="3"/>
      <c r="H872" s="3"/>
      <c r="I872" s="3"/>
      <c r="L872" s="10"/>
    </row>
    <row r="873">
      <c r="B873" s="21"/>
      <c r="F873" s="3"/>
      <c r="G873" s="3"/>
      <c r="H873" s="3"/>
      <c r="I873" s="3"/>
      <c r="L873" s="10"/>
    </row>
    <row r="874">
      <c r="B874" s="21"/>
      <c r="F874" s="3"/>
      <c r="G874" s="3"/>
      <c r="H874" s="3"/>
      <c r="I874" s="3"/>
      <c r="L874" s="10"/>
    </row>
    <row r="875">
      <c r="B875" s="21"/>
      <c r="F875" s="3"/>
      <c r="G875" s="3"/>
      <c r="H875" s="3"/>
      <c r="I875" s="3"/>
      <c r="L875" s="10"/>
    </row>
    <row r="876">
      <c r="B876" s="21"/>
      <c r="F876" s="3"/>
      <c r="G876" s="3"/>
      <c r="H876" s="3"/>
      <c r="I876" s="3"/>
      <c r="L876" s="10"/>
    </row>
    <row r="877">
      <c r="B877" s="21"/>
      <c r="F877" s="3"/>
      <c r="G877" s="3"/>
      <c r="H877" s="3"/>
      <c r="I877" s="3"/>
      <c r="L877" s="10"/>
    </row>
    <row r="878">
      <c r="B878" s="21"/>
      <c r="F878" s="3"/>
      <c r="G878" s="3"/>
      <c r="H878" s="3"/>
      <c r="I878" s="3"/>
      <c r="L878" s="10"/>
    </row>
    <row r="879">
      <c r="B879" s="21"/>
      <c r="F879" s="3"/>
      <c r="G879" s="3"/>
      <c r="H879" s="3"/>
      <c r="I879" s="3"/>
      <c r="L879" s="10"/>
    </row>
    <row r="880">
      <c r="B880" s="21"/>
      <c r="F880" s="3"/>
      <c r="G880" s="3"/>
      <c r="H880" s="3"/>
      <c r="I880" s="3"/>
      <c r="L880" s="10"/>
    </row>
    <row r="881">
      <c r="B881" s="21"/>
      <c r="F881" s="3"/>
      <c r="G881" s="3"/>
      <c r="H881" s="3"/>
      <c r="I881" s="3"/>
      <c r="L881" s="10"/>
    </row>
    <row r="882">
      <c r="B882" s="21"/>
      <c r="F882" s="3"/>
      <c r="G882" s="3"/>
      <c r="H882" s="3"/>
      <c r="I882" s="3"/>
      <c r="L882" s="10"/>
    </row>
    <row r="883">
      <c r="B883" s="21"/>
      <c r="F883" s="3"/>
      <c r="G883" s="3"/>
      <c r="H883" s="3"/>
      <c r="I883" s="3"/>
      <c r="L883" s="10"/>
    </row>
    <row r="884">
      <c r="B884" s="21"/>
      <c r="F884" s="3"/>
      <c r="G884" s="3"/>
      <c r="H884" s="3"/>
      <c r="I884" s="3"/>
      <c r="L884" s="10"/>
    </row>
    <row r="885">
      <c r="B885" s="21"/>
      <c r="F885" s="3"/>
      <c r="G885" s="3"/>
      <c r="H885" s="3"/>
      <c r="I885" s="3"/>
      <c r="L885" s="10"/>
    </row>
    <row r="886">
      <c r="B886" s="21"/>
      <c r="F886" s="3"/>
      <c r="G886" s="3"/>
      <c r="H886" s="3"/>
      <c r="I886" s="3"/>
      <c r="L886" s="10"/>
    </row>
    <row r="887">
      <c r="B887" s="21"/>
      <c r="F887" s="3"/>
      <c r="G887" s="3"/>
      <c r="H887" s="3"/>
      <c r="I887" s="3"/>
      <c r="L887" s="10"/>
    </row>
    <row r="888">
      <c r="B888" s="21"/>
      <c r="F888" s="3"/>
      <c r="G888" s="3"/>
      <c r="H888" s="3"/>
      <c r="I888" s="3"/>
      <c r="L888" s="10"/>
    </row>
    <row r="889">
      <c r="B889" s="21"/>
      <c r="F889" s="3"/>
      <c r="G889" s="3"/>
      <c r="H889" s="3"/>
      <c r="I889" s="3"/>
      <c r="L889" s="10"/>
    </row>
    <row r="890">
      <c r="B890" s="21"/>
      <c r="F890" s="3"/>
      <c r="G890" s="3"/>
      <c r="H890" s="3"/>
      <c r="I890" s="3"/>
      <c r="L890" s="10"/>
    </row>
    <row r="891">
      <c r="B891" s="21"/>
      <c r="F891" s="3"/>
      <c r="G891" s="3"/>
      <c r="H891" s="3"/>
      <c r="I891" s="3"/>
      <c r="L891" s="10"/>
    </row>
    <row r="892">
      <c r="B892" s="21"/>
      <c r="F892" s="3"/>
      <c r="G892" s="3"/>
      <c r="H892" s="3"/>
      <c r="I892" s="3"/>
      <c r="L892" s="10"/>
    </row>
    <row r="893">
      <c r="B893" s="21"/>
      <c r="F893" s="3"/>
      <c r="G893" s="3"/>
      <c r="H893" s="3"/>
      <c r="I893" s="3"/>
      <c r="L893" s="10"/>
    </row>
    <row r="894">
      <c r="B894" s="21"/>
      <c r="F894" s="3"/>
      <c r="G894" s="3"/>
      <c r="H894" s="3"/>
      <c r="I894" s="3"/>
      <c r="L894" s="10"/>
    </row>
    <row r="895">
      <c r="B895" s="21"/>
      <c r="F895" s="3"/>
      <c r="G895" s="3"/>
      <c r="H895" s="3"/>
      <c r="I895" s="3"/>
      <c r="L895" s="10"/>
    </row>
    <row r="896">
      <c r="B896" s="21"/>
      <c r="F896" s="3"/>
      <c r="G896" s="3"/>
      <c r="H896" s="3"/>
      <c r="I896" s="3"/>
      <c r="L896" s="10"/>
    </row>
    <row r="897">
      <c r="B897" s="21"/>
      <c r="F897" s="3"/>
      <c r="G897" s="3"/>
      <c r="H897" s="3"/>
      <c r="I897" s="3"/>
      <c r="L897" s="10"/>
    </row>
    <row r="898">
      <c r="B898" s="21"/>
      <c r="F898" s="3"/>
      <c r="G898" s="3"/>
      <c r="H898" s="3"/>
      <c r="I898" s="3"/>
      <c r="L898" s="10"/>
    </row>
    <row r="899">
      <c r="B899" s="21"/>
      <c r="F899" s="3"/>
      <c r="G899" s="3"/>
      <c r="H899" s="3"/>
      <c r="I899" s="3"/>
      <c r="L899" s="10"/>
    </row>
    <row r="900">
      <c r="B900" s="21"/>
      <c r="F900" s="3"/>
      <c r="G900" s="3"/>
      <c r="H900" s="3"/>
      <c r="I900" s="3"/>
      <c r="L900" s="10"/>
    </row>
    <row r="901">
      <c r="B901" s="21"/>
      <c r="F901" s="3"/>
      <c r="G901" s="3"/>
      <c r="H901" s="3"/>
      <c r="I901" s="3"/>
      <c r="L901" s="10"/>
    </row>
    <row r="902">
      <c r="B902" s="21"/>
      <c r="F902" s="3"/>
      <c r="G902" s="3"/>
      <c r="H902" s="3"/>
      <c r="I902" s="3"/>
      <c r="L902" s="10"/>
    </row>
    <row r="903">
      <c r="B903" s="21"/>
      <c r="F903" s="3"/>
      <c r="G903" s="3"/>
      <c r="H903" s="3"/>
      <c r="I903" s="3"/>
      <c r="L903" s="10"/>
    </row>
    <row r="904">
      <c r="B904" s="21"/>
      <c r="F904" s="3"/>
      <c r="G904" s="3"/>
      <c r="H904" s="3"/>
      <c r="I904" s="3"/>
      <c r="L904" s="10"/>
    </row>
    <row r="905">
      <c r="B905" s="21"/>
      <c r="F905" s="3"/>
      <c r="G905" s="3"/>
      <c r="H905" s="3"/>
      <c r="I905" s="3"/>
      <c r="L905" s="10"/>
    </row>
    <row r="906">
      <c r="B906" s="21"/>
      <c r="F906" s="3"/>
      <c r="G906" s="3"/>
      <c r="H906" s="3"/>
      <c r="I906" s="3"/>
      <c r="L906" s="10"/>
    </row>
    <row r="907">
      <c r="B907" s="21"/>
      <c r="F907" s="3"/>
      <c r="G907" s="3"/>
      <c r="H907" s="3"/>
      <c r="I907" s="3"/>
      <c r="L907" s="10"/>
    </row>
    <row r="908">
      <c r="B908" s="21"/>
      <c r="F908" s="3"/>
      <c r="G908" s="3"/>
      <c r="H908" s="3"/>
      <c r="I908" s="3"/>
      <c r="L908" s="10"/>
    </row>
    <row r="909">
      <c r="B909" s="21"/>
      <c r="F909" s="3"/>
      <c r="G909" s="3"/>
      <c r="H909" s="3"/>
      <c r="I909" s="3"/>
      <c r="L909" s="10"/>
    </row>
    <row r="910">
      <c r="B910" s="21"/>
      <c r="F910" s="3"/>
      <c r="G910" s="3"/>
      <c r="H910" s="3"/>
      <c r="I910" s="3"/>
      <c r="L910" s="10"/>
    </row>
    <row r="911">
      <c r="B911" s="21"/>
      <c r="F911" s="3"/>
      <c r="G911" s="3"/>
      <c r="H911" s="3"/>
      <c r="I911" s="3"/>
      <c r="L911" s="10"/>
    </row>
    <row r="912">
      <c r="B912" s="21"/>
      <c r="F912" s="3"/>
      <c r="G912" s="3"/>
      <c r="H912" s="3"/>
      <c r="I912" s="3"/>
      <c r="L912" s="10"/>
    </row>
    <row r="913">
      <c r="B913" s="21"/>
      <c r="F913" s="3"/>
      <c r="G913" s="3"/>
      <c r="H913" s="3"/>
      <c r="I913" s="3"/>
      <c r="L913" s="10"/>
    </row>
    <row r="914">
      <c r="B914" s="21"/>
      <c r="F914" s="3"/>
      <c r="G914" s="3"/>
      <c r="H914" s="3"/>
      <c r="I914" s="3"/>
      <c r="L914" s="10"/>
    </row>
    <row r="915">
      <c r="B915" s="21"/>
      <c r="F915" s="3"/>
      <c r="G915" s="3"/>
      <c r="H915" s="3"/>
      <c r="I915" s="3"/>
      <c r="L915" s="10"/>
    </row>
    <row r="916">
      <c r="B916" s="21"/>
      <c r="F916" s="3"/>
      <c r="G916" s="3"/>
      <c r="H916" s="3"/>
      <c r="I916" s="3"/>
      <c r="L916" s="10"/>
    </row>
    <row r="917">
      <c r="B917" s="21"/>
      <c r="F917" s="3"/>
      <c r="G917" s="3"/>
      <c r="H917" s="3"/>
      <c r="I917" s="3"/>
      <c r="L917" s="10"/>
    </row>
    <row r="918">
      <c r="B918" s="21"/>
      <c r="F918" s="3"/>
      <c r="G918" s="3"/>
      <c r="H918" s="3"/>
      <c r="I918" s="3"/>
      <c r="L918" s="10"/>
    </row>
    <row r="919">
      <c r="B919" s="21"/>
      <c r="F919" s="3"/>
      <c r="G919" s="3"/>
      <c r="H919" s="3"/>
      <c r="I919" s="3"/>
      <c r="L919" s="10"/>
    </row>
    <row r="920">
      <c r="B920" s="21"/>
      <c r="F920" s="3"/>
      <c r="G920" s="3"/>
      <c r="H920" s="3"/>
      <c r="I920" s="3"/>
      <c r="L920" s="10"/>
    </row>
    <row r="921">
      <c r="B921" s="21"/>
      <c r="F921" s="3"/>
      <c r="G921" s="3"/>
      <c r="H921" s="3"/>
      <c r="I921" s="3"/>
      <c r="L921" s="10"/>
    </row>
    <row r="922">
      <c r="B922" s="21"/>
      <c r="F922" s="3"/>
      <c r="G922" s="3"/>
      <c r="H922" s="3"/>
      <c r="I922" s="3"/>
      <c r="L922" s="10"/>
    </row>
    <row r="923">
      <c r="B923" s="21"/>
      <c r="F923" s="3"/>
      <c r="G923" s="3"/>
      <c r="H923" s="3"/>
      <c r="I923" s="3"/>
      <c r="L923" s="10"/>
    </row>
    <row r="924">
      <c r="B924" s="21"/>
      <c r="F924" s="3"/>
      <c r="G924" s="3"/>
      <c r="H924" s="3"/>
      <c r="I924" s="3"/>
      <c r="L924" s="10"/>
    </row>
    <row r="925">
      <c r="B925" s="21"/>
      <c r="F925" s="3"/>
      <c r="G925" s="3"/>
      <c r="H925" s="3"/>
      <c r="I925" s="3"/>
      <c r="L925" s="10"/>
    </row>
    <row r="926">
      <c r="B926" s="21"/>
      <c r="F926" s="3"/>
      <c r="G926" s="3"/>
      <c r="H926" s="3"/>
      <c r="I926" s="3"/>
      <c r="L926" s="10"/>
    </row>
    <row r="927">
      <c r="B927" s="21"/>
      <c r="F927" s="3"/>
      <c r="G927" s="3"/>
      <c r="H927" s="3"/>
      <c r="I927" s="3"/>
      <c r="L927" s="10"/>
    </row>
    <row r="928">
      <c r="B928" s="21"/>
      <c r="F928" s="3"/>
      <c r="G928" s="3"/>
      <c r="H928" s="3"/>
      <c r="I928" s="3"/>
      <c r="L928" s="10"/>
    </row>
    <row r="929">
      <c r="B929" s="21"/>
      <c r="F929" s="3"/>
      <c r="G929" s="3"/>
      <c r="H929" s="3"/>
      <c r="I929" s="3"/>
      <c r="L929" s="10"/>
    </row>
    <row r="930">
      <c r="B930" s="21"/>
      <c r="F930" s="3"/>
      <c r="G930" s="3"/>
      <c r="H930" s="3"/>
      <c r="I930" s="3"/>
      <c r="L930" s="10"/>
    </row>
    <row r="931">
      <c r="B931" s="21"/>
      <c r="F931" s="3"/>
      <c r="G931" s="3"/>
      <c r="H931" s="3"/>
      <c r="I931" s="3"/>
      <c r="L931" s="10"/>
    </row>
    <row r="932">
      <c r="B932" s="21"/>
      <c r="F932" s="3"/>
      <c r="G932" s="3"/>
      <c r="H932" s="3"/>
      <c r="I932" s="3"/>
      <c r="L932" s="10"/>
    </row>
    <row r="933">
      <c r="B933" s="21"/>
      <c r="F933" s="3"/>
      <c r="G933" s="3"/>
      <c r="H933" s="3"/>
      <c r="I933" s="3"/>
      <c r="L933" s="10"/>
    </row>
    <row r="934">
      <c r="B934" s="21"/>
      <c r="F934" s="3"/>
      <c r="G934" s="3"/>
      <c r="H934" s="3"/>
      <c r="I934" s="3"/>
      <c r="L934" s="10"/>
    </row>
    <row r="935">
      <c r="B935" s="21"/>
      <c r="F935" s="3"/>
      <c r="G935" s="3"/>
      <c r="H935" s="3"/>
      <c r="I935" s="3"/>
      <c r="L935" s="10"/>
    </row>
    <row r="936">
      <c r="B936" s="21"/>
      <c r="F936" s="3"/>
      <c r="G936" s="3"/>
      <c r="H936" s="3"/>
      <c r="I936" s="3"/>
      <c r="L936" s="10"/>
    </row>
    <row r="937">
      <c r="B937" s="21"/>
      <c r="F937" s="3"/>
      <c r="G937" s="3"/>
      <c r="H937" s="3"/>
      <c r="I937" s="3"/>
      <c r="L937" s="10"/>
    </row>
    <row r="938">
      <c r="B938" s="21"/>
      <c r="F938" s="3"/>
      <c r="G938" s="3"/>
      <c r="H938" s="3"/>
      <c r="I938" s="3"/>
      <c r="L938" s="10"/>
    </row>
    <row r="939">
      <c r="B939" s="21"/>
      <c r="F939" s="3"/>
      <c r="G939" s="3"/>
      <c r="H939" s="3"/>
      <c r="I939" s="3"/>
      <c r="L939" s="10"/>
    </row>
    <row r="940">
      <c r="B940" s="21"/>
      <c r="F940" s="3"/>
      <c r="G940" s="3"/>
      <c r="H940" s="3"/>
      <c r="I940" s="3"/>
      <c r="L940" s="10"/>
    </row>
    <row r="941">
      <c r="B941" s="21"/>
      <c r="F941" s="3"/>
      <c r="G941" s="3"/>
      <c r="H941" s="3"/>
      <c r="I941" s="3"/>
      <c r="L941" s="10"/>
    </row>
    <row r="942">
      <c r="B942" s="21"/>
      <c r="F942" s="3"/>
      <c r="G942" s="3"/>
      <c r="H942" s="3"/>
      <c r="I942" s="3"/>
      <c r="L942" s="10"/>
    </row>
    <row r="943">
      <c r="B943" s="21"/>
      <c r="F943" s="3"/>
      <c r="G943" s="3"/>
      <c r="H943" s="3"/>
      <c r="I943" s="3"/>
      <c r="L943" s="10"/>
    </row>
    <row r="944">
      <c r="B944" s="21"/>
      <c r="F944" s="3"/>
      <c r="G944" s="3"/>
      <c r="H944" s="3"/>
      <c r="I944" s="3"/>
      <c r="L944" s="10"/>
    </row>
    <row r="945">
      <c r="B945" s="21"/>
      <c r="F945" s="3"/>
      <c r="G945" s="3"/>
      <c r="H945" s="3"/>
      <c r="I945" s="3"/>
      <c r="L945" s="10"/>
    </row>
    <row r="946">
      <c r="B946" s="21"/>
      <c r="F946" s="3"/>
      <c r="G946" s="3"/>
      <c r="H946" s="3"/>
      <c r="I946" s="3"/>
      <c r="L946" s="10"/>
    </row>
    <row r="947">
      <c r="B947" s="21"/>
      <c r="F947" s="3"/>
      <c r="G947" s="3"/>
      <c r="H947" s="3"/>
      <c r="I947" s="3"/>
      <c r="L947" s="10"/>
    </row>
    <row r="948">
      <c r="B948" s="21"/>
      <c r="F948" s="3"/>
      <c r="G948" s="3"/>
      <c r="H948" s="3"/>
      <c r="I948" s="3"/>
      <c r="L948" s="10"/>
    </row>
    <row r="949">
      <c r="B949" s="21"/>
      <c r="F949" s="3"/>
      <c r="G949" s="3"/>
      <c r="H949" s="3"/>
      <c r="I949" s="3"/>
      <c r="L949" s="10"/>
    </row>
    <row r="950">
      <c r="B950" s="21"/>
      <c r="F950" s="3"/>
      <c r="G950" s="3"/>
      <c r="H950" s="3"/>
      <c r="I950" s="3"/>
      <c r="L950" s="10"/>
    </row>
    <row r="951">
      <c r="B951" s="21"/>
      <c r="F951" s="3"/>
      <c r="G951" s="3"/>
      <c r="H951" s="3"/>
      <c r="I951" s="3"/>
      <c r="L951" s="10"/>
    </row>
    <row r="952">
      <c r="B952" s="21"/>
      <c r="F952" s="3"/>
      <c r="G952" s="3"/>
      <c r="H952" s="3"/>
      <c r="I952" s="3"/>
      <c r="L952" s="10"/>
    </row>
    <row r="953">
      <c r="B953" s="21"/>
      <c r="F953" s="3"/>
      <c r="G953" s="3"/>
      <c r="H953" s="3"/>
      <c r="I953" s="3"/>
      <c r="L953" s="10"/>
    </row>
    <row r="954">
      <c r="B954" s="21"/>
      <c r="F954" s="3"/>
      <c r="G954" s="3"/>
      <c r="H954" s="3"/>
      <c r="I954" s="3"/>
      <c r="L954" s="10"/>
    </row>
    <row r="955">
      <c r="B955" s="21"/>
      <c r="F955" s="3"/>
      <c r="G955" s="3"/>
      <c r="H955" s="3"/>
      <c r="I955" s="3"/>
      <c r="L955" s="10"/>
    </row>
    <row r="956">
      <c r="B956" s="21"/>
      <c r="F956" s="3"/>
      <c r="G956" s="3"/>
      <c r="H956" s="3"/>
      <c r="I956" s="3"/>
      <c r="L956" s="10"/>
    </row>
    <row r="957">
      <c r="B957" s="21"/>
      <c r="F957" s="3"/>
      <c r="G957" s="3"/>
      <c r="H957" s="3"/>
      <c r="I957" s="3"/>
      <c r="L957" s="10"/>
    </row>
    <row r="958">
      <c r="B958" s="21"/>
      <c r="F958" s="3"/>
      <c r="G958" s="3"/>
      <c r="H958" s="3"/>
      <c r="I958" s="3"/>
      <c r="L958" s="10"/>
    </row>
    <row r="959">
      <c r="B959" s="21"/>
      <c r="F959" s="3"/>
      <c r="G959" s="3"/>
      <c r="H959" s="3"/>
      <c r="I959" s="3"/>
      <c r="L959" s="10"/>
    </row>
    <row r="960">
      <c r="B960" s="21"/>
      <c r="F960" s="3"/>
      <c r="G960" s="3"/>
      <c r="H960" s="3"/>
      <c r="I960" s="3"/>
      <c r="L960" s="10"/>
    </row>
    <row r="961">
      <c r="B961" s="21"/>
      <c r="F961" s="3"/>
      <c r="G961" s="3"/>
      <c r="H961" s="3"/>
      <c r="I961" s="3"/>
      <c r="L961" s="10"/>
    </row>
    <row r="962">
      <c r="B962" s="21"/>
      <c r="F962" s="3"/>
      <c r="G962" s="3"/>
      <c r="H962" s="3"/>
      <c r="I962" s="3"/>
      <c r="L962" s="10"/>
    </row>
    <row r="963">
      <c r="B963" s="21"/>
      <c r="F963" s="3"/>
      <c r="G963" s="3"/>
      <c r="H963" s="3"/>
      <c r="I963" s="3"/>
      <c r="L963" s="10"/>
    </row>
    <row r="964">
      <c r="B964" s="21"/>
      <c r="F964" s="3"/>
      <c r="G964" s="3"/>
      <c r="H964" s="3"/>
      <c r="I964" s="3"/>
      <c r="L964" s="10"/>
    </row>
    <row r="965">
      <c r="B965" s="21"/>
      <c r="F965" s="3"/>
      <c r="G965" s="3"/>
      <c r="H965" s="3"/>
      <c r="I965" s="3"/>
      <c r="L965" s="10"/>
    </row>
    <row r="966">
      <c r="B966" s="21"/>
      <c r="F966" s="3"/>
      <c r="G966" s="3"/>
      <c r="H966" s="3"/>
      <c r="I966" s="3"/>
      <c r="L966" s="10"/>
    </row>
    <row r="967">
      <c r="B967" s="21"/>
      <c r="F967" s="3"/>
      <c r="G967" s="3"/>
      <c r="H967" s="3"/>
      <c r="I967" s="3"/>
      <c r="L967" s="10"/>
    </row>
    <row r="968">
      <c r="B968" s="21"/>
      <c r="F968" s="3"/>
      <c r="G968" s="3"/>
      <c r="H968" s="3"/>
      <c r="I968" s="3"/>
      <c r="L968" s="10"/>
    </row>
    <row r="969">
      <c r="B969" s="21"/>
      <c r="F969" s="3"/>
      <c r="G969" s="3"/>
      <c r="H969" s="3"/>
      <c r="I969" s="3"/>
      <c r="L969" s="10"/>
    </row>
    <row r="970">
      <c r="B970" s="21"/>
      <c r="F970" s="3"/>
      <c r="G970" s="3"/>
      <c r="H970" s="3"/>
      <c r="I970" s="3"/>
      <c r="L970" s="10"/>
    </row>
    <row r="971">
      <c r="B971" s="21"/>
      <c r="F971" s="3"/>
      <c r="G971" s="3"/>
      <c r="H971" s="3"/>
      <c r="I971" s="3"/>
      <c r="L971" s="10"/>
    </row>
    <row r="972">
      <c r="B972" s="21"/>
      <c r="F972" s="3"/>
      <c r="G972" s="3"/>
      <c r="H972" s="3"/>
      <c r="I972" s="3"/>
      <c r="L972" s="10"/>
    </row>
    <row r="973">
      <c r="B973" s="21"/>
      <c r="F973" s="3"/>
      <c r="G973" s="3"/>
      <c r="H973" s="3"/>
      <c r="I973" s="3"/>
      <c r="L973" s="10"/>
    </row>
    <row r="974">
      <c r="B974" s="21"/>
      <c r="F974" s="3"/>
      <c r="G974" s="3"/>
      <c r="H974" s="3"/>
      <c r="I974" s="3"/>
      <c r="L974" s="10"/>
    </row>
    <row r="975">
      <c r="B975" s="21"/>
      <c r="F975" s="3"/>
      <c r="G975" s="3"/>
      <c r="H975" s="3"/>
      <c r="I975" s="3"/>
      <c r="L975" s="10"/>
    </row>
    <row r="976">
      <c r="B976" s="21"/>
      <c r="F976" s="3"/>
      <c r="G976" s="3"/>
      <c r="H976" s="3"/>
      <c r="I976" s="3"/>
      <c r="L976" s="10"/>
    </row>
    <row r="977">
      <c r="B977" s="21"/>
      <c r="F977" s="3"/>
      <c r="G977" s="3"/>
      <c r="H977" s="3"/>
      <c r="I977" s="3"/>
      <c r="L977" s="10"/>
    </row>
    <row r="978">
      <c r="B978" s="21"/>
      <c r="F978" s="3"/>
      <c r="G978" s="3"/>
      <c r="H978" s="3"/>
      <c r="I978" s="3"/>
      <c r="L978" s="10"/>
    </row>
    <row r="979">
      <c r="B979" s="21"/>
      <c r="F979" s="3"/>
      <c r="G979" s="3"/>
      <c r="H979" s="3"/>
      <c r="I979" s="3"/>
      <c r="L979" s="10"/>
    </row>
    <row r="980">
      <c r="B980" s="21"/>
      <c r="F980" s="3"/>
      <c r="G980" s="3"/>
      <c r="H980" s="3"/>
      <c r="I980" s="3"/>
      <c r="L980" s="10"/>
    </row>
    <row r="981">
      <c r="B981" s="21"/>
      <c r="F981" s="3"/>
      <c r="G981" s="3"/>
      <c r="H981" s="3"/>
      <c r="I981" s="3"/>
      <c r="L981" s="10"/>
    </row>
    <row r="982">
      <c r="B982" s="21"/>
      <c r="F982" s="3"/>
      <c r="G982" s="3"/>
      <c r="H982" s="3"/>
      <c r="I982" s="3"/>
      <c r="L982" s="10"/>
    </row>
    <row r="983">
      <c r="B983" s="21"/>
      <c r="F983" s="3"/>
      <c r="G983" s="3"/>
      <c r="H983" s="3"/>
      <c r="I983" s="3"/>
      <c r="L983" s="10"/>
    </row>
    <row r="984">
      <c r="B984" s="21"/>
      <c r="F984" s="3"/>
      <c r="G984" s="3"/>
      <c r="H984" s="3"/>
      <c r="I984" s="3"/>
      <c r="L984" s="10"/>
    </row>
    <row r="985">
      <c r="B985" s="21"/>
      <c r="F985" s="3"/>
      <c r="G985" s="3"/>
      <c r="H985" s="3"/>
      <c r="I985" s="3"/>
      <c r="L985" s="10"/>
    </row>
    <row r="986">
      <c r="B986" s="21"/>
      <c r="F986" s="3"/>
      <c r="G986" s="3"/>
      <c r="H986" s="3"/>
      <c r="I986" s="3"/>
      <c r="L986" s="10"/>
    </row>
    <row r="987">
      <c r="B987" s="21"/>
      <c r="F987" s="3"/>
      <c r="G987" s="3"/>
      <c r="H987" s="3"/>
      <c r="I987" s="3"/>
      <c r="L987" s="10"/>
    </row>
    <row r="988">
      <c r="B988" s="21"/>
      <c r="F988" s="3"/>
      <c r="G988" s="3"/>
      <c r="H988" s="3"/>
      <c r="I988" s="3"/>
      <c r="L988" s="10"/>
    </row>
    <row r="989">
      <c r="B989" s="21"/>
      <c r="F989" s="3"/>
      <c r="G989" s="3"/>
      <c r="H989" s="3"/>
      <c r="I989" s="3"/>
      <c r="L989" s="10"/>
    </row>
    <row r="990">
      <c r="B990" s="21"/>
      <c r="F990" s="3"/>
      <c r="G990" s="3"/>
      <c r="H990" s="3"/>
      <c r="I990" s="3"/>
      <c r="L990" s="10"/>
    </row>
    <row r="991">
      <c r="B991" s="21"/>
      <c r="F991" s="3"/>
      <c r="G991" s="3"/>
      <c r="H991" s="3"/>
      <c r="I991" s="3"/>
      <c r="L991" s="10"/>
    </row>
    <row r="992">
      <c r="B992" s="21"/>
      <c r="F992" s="3"/>
      <c r="G992" s="3"/>
      <c r="H992" s="3"/>
      <c r="I992" s="3"/>
      <c r="L992" s="10"/>
    </row>
    <row r="993">
      <c r="B993" s="21"/>
      <c r="F993" s="3"/>
      <c r="G993" s="3"/>
      <c r="H993" s="3"/>
      <c r="I993" s="3"/>
      <c r="L993" s="10"/>
    </row>
    <row r="994">
      <c r="B994" s="21"/>
      <c r="F994" s="3"/>
      <c r="G994" s="3"/>
      <c r="H994" s="3"/>
      <c r="I994" s="3"/>
      <c r="L994" s="10"/>
    </row>
    <row r="995">
      <c r="B995" s="21"/>
      <c r="F995" s="3"/>
      <c r="G995" s="3"/>
      <c r="H995" s="3"/>
      <c r="I995" s="3"/>
      <c r="L995" s="10"/>
    </row>
    <row r="996">
      <c r="B996" s="21"/>
      <c r="F996" s="3"/>
      <c r="G996" s="3"/>
      <c r="H996" s="3"/>
      <c r="I996" s="3"/>
      <c r="L996" s="10"/>
    </row>
    <row r="997">
      <c r="B997" s="21"/>
      <c r="F997" s="3"/>
      <c r="G997" s="3"/>
      <c r="H997" s="3"/>
      <c r="I997" s="3"/>
      <c r="L997" s="10"/>
    </row>
    <row r="998">
      <c r="B998" s="21"/>
      <c r="F998" s="3"/>
      <c r="G998" s="3"/>
      <c r="H998" s="3"/>
      <c r="I998" s="3"/>
      <c r="L998" s="10"/>
    </row>
    <row r="999">
      <c r="B999" s="21"/>
      <c r="F999" s="3"/>
      <c r="G999" s="3"/>
      <c r="H999" s="3"/>
      <c r="I999" s="3"/>
      <c r="L999" s="10"/>
    </row>
    <row r="1000">
      <c r="B1000" s="21"/>
      <c r="F1000" s="3"/>
      <c r="G1000" s="3"/>
      <c r="H1000" s="3"/>
      <c r="I1000" s="3"/>
      <c r="L1000" s="10"/>
    </row>
    <row r="1001">
      <c r="B1001" s="21"/>
      <c r="F1001" s="3"/>
      <c r="G1001" s="3"/>
      <c r="H1001" s="3"/>
      <c r="I1001" s="3"/>
      <c r="L1001" s="10"/>
    </row>
    <row r="1002">
      <c r="B1002" s="21"/>
      <c r="F1002" s="3"/>
      <c r="G1002" s="3"/>
      <c r="H1002" s="3"/>
      <c r="I1002" s="3"/>
      <c r="L1002" s="10"/>
    </row>
    <row r="1003">
      <c r="B1003" s="21"/>
      <c r="F1003" s="3"/>
      <c r="G1003" s="3"/>
      <c r="H1003" s="3"/>
      <c r="I1003" s="3"/>
      <c r="L1003" s="10"/>
    </row>
    <row r="1004">
      <c r="B1004" s="21"/>
      <c r="F1004" s="3"/>
      <c r="G1004" s="3"/>
      <c r="H1004" s="3"/>
      <c r="I1004" s="3"/>
      <c r="L1004" s="10"/>
    </row>
    <row r="1005">
      <c r="B1005" s="21"/>
      <c r="F1005" s="3"/>
      <c r="G1005" s="3"/>
      <c r="H1005" s="3"/>
      <c r="I1005" s="3"/>
      <c r="L1005" s="10"/>
    </row>
    <row r="1006">
      <c r="B1006" s="21"/>
      <c r="F1006" s="3"/>
      <c r="G1006" s="3"/>
      <c r="H1006" s="3"/>
      <c r="I1006" s="3"/>
      <c r="L1006"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63"/>
    <col customWidth="1" hidden="1" min="2" max="2" width="10.75"/>
    <col customWidth="1" hidden="1" min="4" max="4" width="17.88"/>
    <col customWidth="1" hidden="1" min="5" max="5" width="70.25"/>
    <col customWidth="1" hidden="1" min="6" max="6" width="26.63"/>
    <col customWidth="1" hidden="1" min="7" max="7" width="55.13"/>
    <col customWidth="1" hidden="1" min="8" max="8" width="44.0"/>
    <col customWidth="1" min="9" max="9" width="26.25"/>
    <col customWidth="1" min="14" max="14" width="0.63"/>
    <col customWidth="1" min="15" max="15" width="17.0"/>
    <col customWidth="1" min="16" max="16" width="6.25"/>
    <col customWidth="1" min="17" max="17" width="20.25"/>
    <col customWidth="1" min="18" max="18" width="6.13"/>
    <col customWidth="1" min="19" max="19" width="4.63"/>
  </cols>
  <sheetData>
    <row r="1">
      <c r="A1" s="5" t="s">
        <v>15</v>
      </c>
      <c r="B1" s="5" t="s">
        <v>0</v>
      </c>
      <c r="C1" s="1" t="s">
        <v>16</v>
      </c>
      <c r="D1" s="7" t="s">
        <v>18</v>
      </c>
      <c r="E1" s="8" t="s">
        <v>19</v>
      </c>
      <c r="F1" s="8" t="s">
        <v>20</v>
      </c>
      <c r="G1" s="8" t="s">
        <v>19</v>
      </c>
      <c r="H1" s="8" t="s">
        <v>314</v>
      </c>
      <c r="I1" s="8" t="s">
        <v>315</v>
      </c>
      <c r="J1" s="9"/>
      <c r="K1" s="10"/>
      <c r="L1" s="9"/>
      <c r="M1" s="9"/>
      <c r="N1" s="9"/>
      <c r="O1" s="9"/>
      <c r="P1" s="30"/>
      <c r="Q1" s="9"/>
      <c r="R1" s="9"/>
      <c r="S1" s="9"/>
      <c r="T1" s="9"/>
      <c r="U1" s="9"/>
      <c r="V1" s="9"/>
      <c r="W1" s="9"/>
      <c r="X1" s="9"/>
      <c r="Y1" s="9"/>
      <c r="Z1" s="9"/>
      <c r="AA1" s="9"/>
    </row>
    <row r="2">
      <c r="A2" s="11" t="s">
        <v>29</v>
      </c>
      <c r="B2" s="31">
        <v>2790.6</v>
      </c>
      <c r="C2" s="13" t="s">
        <v>316</v>
      </c>
      <c r="D2" s="14">
        <v>5.0</v>
      </c>
      <c r="E2" s="2" t="s">
        <v>31</v>
      </c>
      <c r="F2" s="2">
        <v>5.0</v>
      </c>
      <c r="G2" s="2" t="s">
        <v>32</v>
      </c>
      <c r="H2" s="2">
        <f t="shared" ref="H2:H52" si="1">F2+D2</f>
        <v>10</v>
      </c>
      <c r="I2" s="13" t="s">
        <v>55</v>
      </c>
      <c r="K2" s="10"/>
      <c r="P2" s="32"/>
    </row>
    <row r="3">
      <c r="A3" s="11" t="s">
        <v>56</v>
      </c>
      <c r="B3" s="31">
        <v>1473.6</v>
      </c>
      <c r="C3" s="13" t="s">
        <v>317</v>
      </c>
      <c r="D3" s="13">
        <v>5.0</v>
      </c>
      <c r="E3" s="2" t="s">
        <v>58</v>
      </c>
      <c r="F3" s="2">
        <v>5.0</v>
      </c>
      <c r="G3" s="2" t="s">
        <v>59</v>
      </c>
      <c r="H3" s="2">
        <f t="shared" si="1"/>
        <v>10</v>
      </c>
      <c r="I3" s="13" t="s">
        <v>55</v>
      </c>
      <c r="L3" s="1"/>
      <c r="P3" s="32"/>
    </row>
    <row r="4">
      <c r="A4" s="11" t="s">
        <v>147</v>
      </c>
      <c r="B4" s="31">
        <v>2327.1</v>
      </c>
      <c r="C4" s="13" t="s">
        <v>317</v>
      </c>
      <c r="D4" s="13">
        <v>3.5</v>
      </c>
      <c r="E4" s="2" t="s">
        <v>149</v>
      </c>
      <c r="F4" s="2">
        <v>5.0</v>
      </c>
      <c r="G4" s="2" t="s">
        <v>150</v>
      </c>
      <c r="H4" s="2">
        <f t="shared" si="1"/>
        <v>8.5</v>
      </c>
      <c r="I4" s="13" t="s">
        <v>55</v>
      </c>
      <c r="L4" s="8"/>
      <c r="P4" s="32"/>
    </row>
    <row r="5">
      <c r="A5" s="11" t="s">
        <v>164</v>
      </c>
      <c r="B5" s="31">
        <v>2315.4</v>
      </c>
      <c r="C5" s="13" t="s">
        <v>317</v>
      </c>
      <c r="D5" s="13">
        <v>3.0</v>
      </c>
      <c r="E5" s="2" t="s">
        <v>166</v>
      </c>
      <c r="F5" s="2">
        <v>5.0</v>
      </c>
      <c r="G5" s="2" t="s">
        <v>167</v>
      </c>
      <c r="H5" s="2">
        <f t="shared" si="1"/>
        <v>8</v>
      </c>
      <c r="I5" s="13" t="s">
        <v>55</v>
      </c>
      <c r="L5" s="8"/>
      <c r="P5" s="32"/>
    </row>
    <row r="6">
      <c r="A6" s="11" t="s">
        <v>113</v>
      </c>
      <c r="B6" s="31">
        <v>2418.0</v>
      </c>
      <c r="C6" s="13" t="s">
        <v>317</v>
      </c>
      <c r="D6" s="14">
        <v>4.0</v>
      </c>
      <c r="E6" s="2" t="s">
        <v>115</v>
      </c>
      <c r="F6" s="2">
        <v>4.0</v>
      </c>
      <c r="G6" s="2" t="s">
        <v>116</v>
      </c>
      <c r="H6" s="2">
        <f t="shared" si="1"/>
        <v>8</v>
      </c>
      <c r="I6" s="13" t="s">
        <v>55</v>
      </c>
      <c r="L6" s="8"/>
      <c r="P6" s="32"/>
    </row>
    <row r="7">
      <c r="A7" s="11" t="s">
        <v>73</v>
      </c>
      <c r="B7" s="31">
        <v>3466.7999999999997</v>
      </c>
      <c r="C7" s="13" t="s">
        <v>317</v>
      </c>
      <c r="D7" s="13">
        <v>4.0</v>
      </c>
      <c r="E7" s="2" t="s">
        <v>75</v>
      </c>
      <c r="F7" s="2">
        <v>3.0</v>
      </c>
      <c r="G7" s="2" t="s">
        <v>76</v>
      </c>
      <c r="H7" s="2">
        <f t="shared" si="1"/>
        <v>7</v>
      </c>
      <c r="I7" s="13" t="s">
        <v>55</v>
      </c>
      <c r="K7" s="10"/>
      <c r="P7" s="32"/>
    </row>
    <row r="8">
      <c r="A8" s="11" t="s">
        <v>43</v>
      </c>
      <c r="B8" s="31">
        <v>1413.3</v>
      </c>
      <c r="C8" s="13" t="s">
        <v>44</v>
      </c>
      <c r="D8" s="13">
        <v>5.0</v>
      </c>
      <c r="E8" s="2" t="s">
        <v>45</v>
      </c>
      <c r="F8" s="2">
        <v>5.0</v>
      </c>
      <c r="G8" s="2" t="s">
        <v>318</v>
      </c>
      <c r="H8" s="2">
        <f t="shared" si="1"/>
        <v>10</v>
      </c>
      <c r="I8" s="13" t="s">
        <v>28</v>
      </c>
      <c r="P8" s="32"/>
    </row>
    <row r="9">
      <c r="A9" s="11" t="s">
        <v>81</v>
      </c>
      <c r="B9" s="31">
        <v>2766.6</v>
      </c>
      <c r="C9" s="13" t="s">
        <v>82</v>
      </c>
      <c r="D9" s="13">
        <v>4.0</v>
      </c>
      <c r="E9" s="2" t="s">
        <v>83</v>
      </c>
      <c r="F9" s="2">
        <v>3.0</v>
      </c>
      <c r="G9" s="2" t="s">
        <v>84</v>
      </c>
      <c r="H9" s="2">
        <f t="shared" si="1"/>
        <v>7</v>
      </c>
      <c r="I9" s="13" t="s">
        <v>33</v>
      </c>
      <c r="K9" s="10"/>
      <c r="P9" s="32"/>
    </row>
    <row r="10">
      <c r="A10" s="11" t="s">
        <v>97</v>
      </c>
      <c r="B10" s="31">
        <v>3029.1</v>
      </c>
      <c r="C10" s="13" t="s">
        <v>98</v>
      </c>
      <c r="D10" s="13">
        <v>4.0</v>
      </c>
      <c r="E10" s="2" t="s">
        <v>99</v>
      </c>
      <c r="F10" s="2">
        <v>3.0</v>
      </c>
      <c r="G10" s="2" t="s">
        <v>100</v>
      </c>
      <c r="H10" s="2">
        <f t="shared" si="1"/>
        <v>7</v>
      </c>
      <c r="I10" s="13" t="s">
        <v>55</v>
      </c>
      <c r="L10" s="8"/>
      <c r="O10" s="1"/>
      <c r="P10" s="32"/>
      <c r="Q10" s="1"/>
      <c r="R10" s="32"/>
    </row>
    <row r="11">
      <c r="A11" s="11" t="s">
        <v>38</v>
      </c>
      <c r="B11" s="11"/>
      <c r="C11" s="13" t="s">
        <v>39</v>
      </c>
      <c r="D11" s="13">
        <v>5.0</v>
      </c>
      <c r="E11" s="2" t="s">
        <v>40</v>
      </c>
      <c r="F11" s="2">
        <v>2.0</v>
      </c>
      <c r="G11" s="2" t="s">
        <v>41</v>
      </c>
      <c r="H11" s="2">
        <f t="shared" si="1"/>
        <v>7</v>
      </c>
      <c r="I11" s="13" t="s">
        <v>28</v>
      </c>
      <c r="K11" s="10"/>
      <c r="P11" s="32"/>
    </row>
    <row r="12">
      <c r="A12" s="11" t="s">
        <v>47</v>
      </c>
      <c r="B12" s="11"/>
      <c r="C12" s="13" t="s">
        <v>48</v>
      </c>
      <c r="D12" s="13">
        <v>5.0</v>
      </c>
      <c r="E12" s="2" t="s">
        <v>49</v>
      </c>
      <c r="F12" s="2">
        <v>2.0</v>
      </c>
      <c r="G12" s="2" t="s">
        <v>50</v>
      </c>
      <c r="H12" s="2">
        <f t="shared" si="1"/>
        <v>7</v>
      </c>
      <c r="I12" s="13" t="s">
        <v>28</v>
      </c>
      <c r="K12" s="10"/>
      <c r="P12" s="32"/>
    </row>
    <row r="13">
      <c r="A13" s="11" t="s">
        <v>213</v>
      </c>
      <c r="B13" s="31">
        <v>3405.6</v>
      </c>
      <c r="C13" s="13" t="s">
        <v>214</v>
      </c>
      <c r="D13" s="13">
        <v>3.0</v>
      </c>
      <c r="E13" s="2" t="s">
        <v>215</v>
      </c>
      <c r="F13" s="2">
        <v>4.0</v>
      </c>
      <c r="G13" s="2" t="s">
        <v>216</v>
      </c>
      <c r="H13" s="2">
        <f t="shared" si="1"/>
        <v>7</v>
      </c>
      <c r="I13" s="13" t="s">
        <v>33</v>
      </c>
      <c r="K13" s="10"/>
      <c r="P13" s="32"/>
    </row>
    <row r="14">
      <c r="A14" s="11" t="s">
        <v>238</v>
      </c>
      <c r="B14" s="31">
        <v>3419.7</v>
      </c>
      <c r="C14" s="13" t="s">
        <v>239</v>
      </c>
      <c r="D14" s="13">
        <v>2.5</v>
      </c>
      <c r="E14" s="2" t="s">
        <v>240</v>
      </c>
      <c r="F14" s="2">
        <v>4.0</v>
      </c>
      <c r="G14" s="2" t="s">
        <v>241</v>
      </c>
      <c r="H14" s="2">
        <f t="shared" si="1"/>
        <v>6.5</v>
      </c>
      <c r="I14" s="13" t="s">
        <v>33</v>
      </c>
      <c r="K14" s="10"/>
      <c r="P14" s="32"/>
    </row>
    <row r="15">
      <c r="A15" s="11" t="s">
        <v>160</v>
      </c>
      <c r="B15" s="31">
        <v>3290.4</v>
      </c>
      <c r="C15" s="13" t="s">
        <v>161</v>
      </c>
      <c r="D15" s="13">
        <v>3.0</v>
      </c>
      <c r="E15" s="2" t="s">
        <v>162</v>
      </c>
      <c r="F15" s="2">
        <v>3.0</v>
      </c>
      <c r="G15" s="19" t="s">
        <v>163</v>
      </c>
      <c r="H15" s="2">
        <f t="shared" si="1"/>
        <v>6</v>
      </c>
      <c r="I15" s="13" t="s">
        <v>42</v>
      </c>
      <c r="K15" s="10"/>
      <c r="P15" s="32"/>
    </row>
    <row r="16">
      <c r="A16" s="11" t="s">
        <v>23</v>
      </c>
      <c r="B16" s="31">
        <v>2828.4</v>
      </c>
      <c r="C16" s="13" t="s">
        <v>24</v>
      </c>
      <c r="D16" s="13">
        <v>5.0</v>
      </c>
      <c r="E16" s="2" t="s">
        <v>26</v>
      </c>
      <c r="F16" s="2">
        <v>1.0</v>
      </c>
      <c r="G16" s="2" t="s">
        <v>27</v>
      </c>
      <c r="H16" s="2">
        <f t="shared" si="1"/>
        <v>6</v>
      </c>
      <c r="I16" s="13" t="s">
        <v>28</v>
      </c>
      <c r="K16" s="10"/>
      <c r="P16" s="32"/>
    </row>
    <row r="17">
      <c r="A17" s="11" t="s">
        <v>172</v>
      </c>
      <c r="B17" s="31">
        <v>4427.4</v>
      </c>
      <c r="C17" s="13" t="s">
        <v>173</v>
      </c>
      <c r="D17" s="14">
        <v>3.0</v>
      </c>
      <c r="E17" s="2" t="s">
        <v>174</v>
      </c>
      <c r="F17" s="2">
        <v>3.0</v>
      </c>
      <c r="G17" s="2" t="s">
        <v>175</v>
      </c>
      <c r="H17" s="2">
        <f t="shared" si="1"/>
        <v>6</v>
      </c>
      <c r="I17" s="13" t="s">
        <v>33</v>
      </c>
      <c r="K17" s="10"/>
      <c r="P17" s="32"/>
    </row>
    <row r="18">
      <c r="A18" s="11" t="s">
        <v>176</v>
      </c>
      <c r="B18" s="31">
        <v>3474.9</v>
      </c>
      <c r="C18" s="13" t="s">
        <v>177</v>
      </c>
      <c r="D18" s="13">
        <v>3.0</v>
      </c>
      <c r="E18" s="2" t="s">
        <v>178</v>
      </c>
      <c r="F18" s="2">
        <v>3.0</v>
      </c>
      <c r="G18" s="2" t="s">
        <v>179</v>
      </c>
      <c r="H18" s="2">
        <f t="shared" si="1"/>
        <v>6</v>
      </c>
      <c r="I18" s="13" t="s">
        <v>42</v>
      </c>
      <c r="K18" s="10"/>
      <c r="P18" s="32"/>
    </row>
    <row r="19">
      <c r="A19" s="11" t="s">
        <v>85</v>
      </c>
      <c r="B19" s="31">
        <v>3815.7</v>
      </c>
      <c r="C19" s="13" t="s">
        <v>319</v>
      </c>
      <c r="D19" s="13">
        <v>3.0</v>
      </c>
      <c r="E19" s="2" t="s">
        <v>87</v>
      </c>
      <c r="F19" s="2">
        <v>3.0</v>
      </c>
      <c r="G19" s="2" t="s">
        <v>88</v>
      </c>
      <c r="H19" s="2">
        <f t="shared" si="1"/>
        <v>6</v>
      </c>
      <c r="I19" s="13" t="s">
        <v>42</v>
      </c>
      <c r="K19" s="10"/>
      <c r="P19" s="32"/>
    </row>
    <row r="20">
      <c r="A20" s="11" t="s">
        <v>183</v>
      </c>
      <c r="B20" s="31">
        <v>3975.2999999999997</v>
      </c>
      <c r="C20" s="13" t="s">
        <v>184</v>
      </c>
      <c r="D20" s="13">
        <v>3.0</v>
      </c>
      <c r="E20" s="2" t="s">
        <v>185</v>
      </c>
      <c r="F20" s="2">
        <v>3.0</v>
      </c>
      <c r="G20" s="2" t="s">
        <v>186</v>
      </c>
      <c r="H20" s="2">
        <f t="shared" si="1"/>
        <v>6</v>
      </c>
      <c r="I20" s="13" t="s">
        <v>33</v>
      </c>
      <c r="K20" s="10"/>
      <c r="P20" s="32"/>
    </row>
    <row r="21">
      <c r="A21" s="11" t="s">
        <v>101</v>
      </c>
      <c r="B21" s="31">
        <v>1288.2</v>
      </c>
      <c r="C21" s="13" t="s">
        <v>102</v>
      </c>
      <c r="D21" s="13">
        <v>4.0</v>
      </c>
      <c r="E21" s="2" t="s">
        <v>103</v>
      </c>
      <c r="F21" s="2">
        <v>2.0</v>
      </c>
      <c r="G21" s="2" t="s">
        <v>104</v>
      </c>
      <c r="H21" s="2">
        <f t="shared" si="1"/>
        <v>6</v>
      </c>
      <c r="I21" s="13" t="s">
        <v>33</v>
      </c>
      <c r="K21" s="10"/>
      <c r="P21" s="32"/>
    </row>
    <row r="22">
      <c r="A22" s="11" t="s">
        <v>195</v>
      </c>
      <c r="B22" s="31">
        <v>3347.4</v>
      </c>
      <c r="C22" s="13" t="s">
        <v>196</v>
      </c>
      <c r="D22" s="13">
        <v>3.0</v>
      </c>
      <c r="E22" s="3"/>
      <c r="F22" s="2">
        <v>3.0</v>
      </c>
      <c r="G22" s="2" t="s">
        <v>197</v>
      </c>
      <c r="H22" s="2">
        <f t="shared" si="1"/>
        <v>6</v>
      </c>
      <c r="I22" s="13" t="s">
        <v>33</v>
      </c>
      <c r="K22" s="10"/>
      <c r="P22" s="32"/>
    </row>
    <row r="23">
      <c r="A23" s="11" t="s">
        <v>105</v>
      </c>
      <c r="B23" s="31">
        <v>2429.7</v>
      </c>
      <c r="C23" s="13" t="s">
        <v>106</v>
      </c>
      <c r="D23" s="13">
        <v>4.0</v>
      </c>
      <c r="E23" s="2" t="s">
        <v>107</v>
      </c>
      <c r="F23" s="2">
        <v>2.0</v>
      </c>
      <c r="G23" s="2" t="s">
        <v>108</v>
      </c>
      <c r="H23" s="2">
        <f t="shared" si="1"/>
        <v>6</v>
      </c>
      <c r="I23" s="13" t="s">
        <v>33</v>
      </c>
      <c r="K23" s="10"/>
      <c r="P23" s="32"/>
    </row>
    <row r="24">
      <c r="A24" s="11" t="s">
        <v>109</v>
      </c>
      <c r="B24" s="11"/>
      <c r="C24" s="13" t="s">
        <v>320</v>
      </c>
      <c r="D24" s="13">
        <v>4.0</v>
      </c>
      <c r="E24" s="2" t="s">
        <v>111</v>
      </c>
      <c r="F24" s="2">
        <v>2.0</v>
      </c>
      <c r="G24" s="2" t="s">
        <v>112</v>
      </c>
      <c r="H24" s="2">
        <f t="shared" si="1"/>
        <v>6</v>
      </c>
      <c r="I24" s="13" t="s">
        <v>42</v>
      </c>
      <c r="K24" s="10"/>
      <c r="P24" s="32"/>
    </row>
    <row r="25">
      <c r="A25" s="11" t="s">
        <v>205</v>
      </c>
      <c r="B25" s="11"/>
      <c r="C25" s="13" t="s">
        <v>206</v>
      </c>
      <c r="D25" s="13">
        <v>3.0</v>
      </c>
      <c r="E25" s="2" t="s">
        <v>207</v>
      </c>
      <c r="F25" s="2">
        <v>3.0</v>
      </c>
      <c r="G25" s="2" t="s">
        <v>208</v>
      </c>
      <c r="H25" s="2">
        <f t="shared" si="1"/>
        <v>6</v>
      </c>
      <c r="I25" s="13" t="s">
        <v>42</v>
      </c>
      <c r="K25" s="10"/>
      <c r="P25" s="32"/>
    </row>
    <row r="26">
      <c r="A26" s="11" t="s">
        <v>125</v>
      </c>
      <c r="B26" s="31">
        <v>2031.6</v>
      </c>
      <c r="C26" s="13" t="s">
        <v>126</v>
      </c>
      <c r="D26" s="18">
        <v>4.0</v>
      </c>
      <c r="E26" s="2" t="s">
        <v>127</v>
      </c>
      <c r="F26" s="13">
        <v>2.0</v>
      </c>
      <c r="G26" s="2" t="s">
        <v>128</v>
      </c>
      <c r="H26" s="2">
        <f t="shared" si="1"/>
        <v>6</v>
      </c>
      <c r="I26" s="13" t="s">
        <v>33</v>
      </c>
      <c r="K26" s="10"/>
      <c r="P26" s="32"/>
    </row>
    <row r="27">
      <c r="A27" s="11" t="s">
        <v>77</v>
      </c>
      <c r="B27" s="31">
        <v>1824.8999999999999</v>
      </c>
      <c r="C27" s="13" t="s">
        <v>78</v>
      </c>
      <c r="D27" s="13">
        <v>4.0</v>
      </c>
      <c r="E27" s="2" t="s">
        <v>79</v>
      </c>
      <c r="F27" s="2">
        <v>1.0</v>
      </c>
      <c r="G27" s="2" t="s">
        <v>80</v>
      </c>
      <c r="H27" s="2">
        <f t="shared" si="1"/>
        <v>5</v>
      </c>
      <c r="I27" s="13" t="s">
        <v>28</v>
      </c>
      <c r="K27" s="10"/>
      <c r="P27" s="32"/>
    </row>
    <row r="28">
      <c r="A28" s="11" t="s">
        <v>34</v>
      </c>
      <c r="B28" s="31">
        <v>2561.4</v>
      </c>
      <c r="C28" s="13" t="s">
        <v>321</v>
      </c>
      <c r="D28" s="13">
        <v>5.0</v>
      </c>
      <c r="E28" s="2" t="s">
        <v>36</v>
      </c>
      <c r="F28" s="2">
        <v>0.0</v>
      </c>
      <c r="G28" s="2" t="s">
        <v>37</v>
      </c>
      <c r="H28" s="2">
        <f t="shared" si="1"/>
        <v>5</v>
      </c>
      <c r="I28" s="13" t="s">
        <v>322</v>
      </c>
      <c r="K28" s="10"/>
      <c r="P28" s="32"/>
    </row>
    <row r="29">
      <c r="A29" s="11" t="s">
        <v>51</v>
      </c>
      <c r="B29" s="31">
        <v>2173.5</v>
      </c>
      <c r="C29" s="13" t="s">
        <v>52</v>
      </c>
      <c r="D29" s="13">
        <v>5.0</v>
      </c>
      <c r="E29" s="2" t="s">
        <v>53</v>
      </c>
      <c r="F29" s="2">
        <v>0.0</v>
      </c>
      <c r="G29" s="2" t="s">
        <v>54</v>
      </c>
      <c r="H29" s="2">
        <f t="shared" si="1"/>
        <v>5</v>
      </c>
      <c r="I29" s="13" t="s">
        <v>55</v>
      </c>
      <c r="K29" s="10"/>
      <c r="P29" s="32"/>
    </row>
    <row r="30">
      <c r="A30" s="11" t="s">
        <v>117</v>
      </c>
      <c r="B30" s="31">
        <v>2755.7999999999997</v>
      </c>
      <c r="C30" s="13" t="s">
        <v>118</v>
      </c>
      <c r="D30" s="14">
        <v>4.0</v>
      </c>
      <c r="E30" s="2" t="s">
        <v>119</v>
      </c>
      <c r="F30" s="2">
        <v>1.0</v>
      </c>
      <c r="G30" s="2" t="s">
        <v>120</v>
      </c>
      <c r="H30" s="2">
        <f t="shared" si="1"/>
        <v>5</v>
      </c>
      <c r="I30" s="13" t="s">
        <v>28</v>
      </c>
      <c r="K30" s="10"/>
      <c r="P30" s="32"/>
    </row>
    <row r="31">
      <c r="A31" s="11" t="s">
        <v>121</v>
      </c>
      <c r="B31" s="11"/>
      <c r="C31" s="13" t="s">
        <v>122</v>
      </c>
      <c r="D31" s="13">
        <v>4.0</v>
      </c>
      <c r="E31" s="2" t="s">
        <v>123</v>
      </c>
      <c r="F31" s="2">
        <v>1.0</v>
      </c>
      <c r="G31" s="2" t="s">
        <v>124</v>
      </c>
      <c r="H31" s="2">
        <f t="shared" si="1"/>
        <v>5</v>
      </c>
      <c r="I31" s="13" t="s">
        <v>28</v>
      </c>
      <c r="K31" s="10"/>
      <c r="P31" s="32"/>
    </row>
    <row r="32">
      <c r="A32" s="11" t="s">
        <v>264</v>
      </c>
      <c r="B32" s="31">
        <v>2727.2999999999997</v>
      </c>
      <c r="C32" s="13" t="s">
        <v>265</v>
      </c>
      <c r="D32" s="14">
        <v>2.0</v>
      </c>
      <c r="E32" s="2" t="s">
        <v>266</v>
      </c>
      <c r="F32" s="13">
        <v>3.0</v>
      </c>
      <c r="G32" s="2" t="s">
        <v>267</v>
      </c>
      <c r="H32" s="2">
        <f t="shared" si="1"/>
        <v>5</v>
      </c>
      <c r="I32" s="13" t="s">
        <v>33</v>
      </c>
      <c r="K32" s="10"/>
      <c r="P32" s="32"/>
    </row>
    <row r="33">
      <c r="A33" s="11" t="s">
        <v>156</v>
      </c>
      <c r="B33" s="31">
        <v>3733.7999999999997</v>
      </c>
      <c r="C33" s="13" t="s">
        <v>157</v>
      </c>
      <c r="D33" s="14">
        <v>3.0</v>
      </c>
      <c r="E33" s="2" t="s">
        <v>158</v>
      </c>
      <c r="F33" s="2">
        <v>1.0</v>
      </c>
      <c r="G33" s="2" t="s">
        <v>159</v>
      </c>
      <c r="H33" s="2">
        <f t="shared" si="1"/>
        <v>4</v>
      </c>
      <c r="I33" s="13" t="s">
        <v>42</v>
      </c>
      <c r="K33" s="10"/>
      <c r="P33" s="32"/>
    </row>
    <row r="34">
      <c r="A34" s="11" t="s">
        <v>276</v>
      </c>
      <c r="B34" s="31">
        <v>4460.7</v>
      </c>
      <c r="C34" s="13" t="s">
        <v>277</v>
      </c>
      <c r="D34" s="13">
        <v>1.0</v>
      </c>
      <c r="E34" s="2" t="s">
        <v>278</v>
      </c>
      <c r="F34" s="2">
        <v>3.0</v>
      </c>
      <c r="G34" s="2" t="s">
        <v>279</v>
      </c>
      <c r="H34" s="2">
        <f t="shared" si="1"/>
        <v>4</v>
      </c>
      <c r="I34" s="13" t="s">
        <v>33</v>
      </c>
      <c r="K34" s="10"/>
      <c r="P34" s="32"/>
    </row>
    <row r="35">
      <c r="A35" s="11" t="s">
        <v>187</v>
      </c>
      <c r="B35" s="31">
        <v>1634.1</v>
      </c>
      <c r="C35" s="13" t="s">
        <v>188</v>
      </c>
      <c r="E35" s="2" t="s">
        <v>189</v>
      </c>
      <c r="F35" s="2">
        <v>4.0</v>
      </c>
      <c r="G35" s="2" t="s">
        <v>190</v>
      </c>
      <c r="H35" s="2">
        <f t="shared" si="1"/>
        <v>4</v>
      </c>
      <c r="I35" s="13" t="s">
        <v>33</v>
      </c>
      <c r="K35" s="10"/>
      <c r="P35" s="32"/>
    </row>
    <row r="36">
      <c r="A36" s="11" t="s">
        <v>248</v>
      </c>
      <c r="B36" s="31">
        <v>4347.599999999999</v>
      </c>
      <c r="C36" s="13" t="s">
        <v>249</v>
      </c>
      <c r="D36" s="13">
        <v>2.0</v>
      </c>
      <c r="E36" s="2" t="s">
        <v>250</v>
      </c>
      <c r="F36" s="2">
        <v>2.0</v>
      </c>
      <c r="G36" s="2" t="s">
        <v>251</v>
      </c>
      <c r="H36" s="2">
        <f t="shared" si="1"/>
        <v>4</v>
      </c>
      <c r="I36" s="13" t="s">
        <v>33</v>
      </c>
      <c r="K36" s="10"/>
      <c r="P36" s="32"/>
    </row>
    <row r="37">
      <c r="A37" s="11" t="s">
        <v>198</v>
      </c>
      <c r="B37" s="11"/>
      <c r="C37" s="13" t="s">
        <v>199</v>
      </c>
      <c r="D37" s="13">
        <v>3.0</v>
      </c>
      <c r="E37" s="2" t="s">
        <v>200</v>
      </c>
      <c r="F37" s="2">
        <v>1.0</v>
      </c>
      <c r="G37" s="2" t="s">
        <v>201</v>
      </c>
      <c r="H37" s="2">
        <f t="shared" si="1"/>
        <v>4</v>
      </c>
      <c r="I37" s="13" t="s">
        <v>322</v>
      </c>
      <c r="K37" s="10"/>
      <c r="P37" s="32"/>
    </row>
    <row r="38">
      <c r="A38" s="11" t="s">
        <v>202</v>
      </c>
      <c r="B38" s="11"/>
      <c r="C38" s="13" t="s">
        <v>203</v>
      </c>
      <c r="D38" s="13">
        <v>3.0</v>
      </c>
      <c r="E38" s="2"/>
      <c r="F38" s="2">
        <v>1.0</v>
      </c>
      <c r="G38" s="2" t="s">
        <v>204</v>
      </c>
      <c r="H38" s="2">
        <f t="shared" si="1"/>
        <v>4</v>
      </c>
      <c r="I38" s="13" t="s">
        <v>322</v>
      </c>
      <c r="K38" s="10"/>
      <c r="P38" s="32"/>
    </row>
    <row r="39">
      <c r="A39" s="11" t="s">
        <v>209</v>
      </c>
      <c r="B39" s="11"/>
      <c r="C39" s="13" t="s">
        <v>210</v>
      </c>
      <c r="D39" s="13">
        <v>3.0</v>
      </c>
      <c r="E39" s="2" t="s">
        <v>211</v>
      </c>
      <c r="F39" s="2">
        <v>1.0</v>
      </c>
      <c r="G39" s="2" t="s">
        <v>212</v>
      </c>
      <c r="H39" s="2">
        <f t="shared" si="1"/>
        <v>4</v>
      </c>
      <c r="I39" s="13" t="s">
        <v>322</v>
      </c>
      <c r="K39" s="10"/>
      <c r="P39" s="32"/>
    </row>
    <row r="40">
      <c r="A40" s="11" t="s">
        <v>217</v>
      </c>
      <c r="B40" s="31">
        <v>2995.7999999999997</v>
      </c>
      <c r="C40" s="13" t="s">
        <v>218</v>
      </c>
      <c r="D40" s="18">
        <v>3.0</v>
      </c>
      <c r="E40" s="2" t="s">
        <v>219</v>
      </c>
      <c r="F40" s="13">
        <v>1.0</v>
      </c>
      <c r="G40" s="19" t="s">
        <v>220</v>
      </c>
      <c r="H40" s="2">
        <f t="shared" si="1"/>
        <v>4</v>
      </c>
      <c r="I40" s="13" t="s">
        <v>42</v>
      </c>
      <c r="K40" s="10"/>
      <c r="P40" s="32"/>
    </row>
    <row r="41">
      <c r="A41" s="11" t="s">
        <v>242</v>
      </c>
      <c r="B41" s="31">
        <v>2387.4</v>
      </c>
      <c r="C41" s="13" t="s">
        <v>243</v>
      </c>
      <c r="D41" s="13">
        <v>2.0</v>
      </c>
      <c r="E41" s="2" t="s">
        <v>244</v>
      </c>
      <c r="F41" s="2">
        <v>1.0</v>
      </c>
      <c r="G41" s="2" t="s">
        <v>245</v>
      </c>
      <c r="H41" s="2">
        <f t="shared" si="1"/>
        <v>3</v>
      </c>
      <c r="I41" s="13" t="s">
        <v>28</v>
      </c>
      <c r="K41" s="10"/>
      <c r="P41" s="32"/>
    </row>
    <row r="42">
      <c r="A42" s="11" t="s">
        <v>168</v>
      </c>
      <c r="B42" s="31">
        <v>2559.6</v>
      </c>
      <c r="C42" s="13" t="s">
        <v>169</v>
      </c>
      <c r="D42" s="13">
        <v>3.0</v>
      </c>
      <c r="E42" s="2" t="s">
        <v>170</v>
      </c>
      <c r="F42" s="2">
        <v>0.0</v>
      </c>
      <c r="G42" s="2" t="s">
        <v>171</v>
      </c>
      <c r="H42" s="2">
        <f t="shared" si="1"/>
        <v>3</v>
      </c>
      <c r="I42" s="13" t="s">
        <v>42</v>
      </c>
      <c r="K42" s="10"/>
      <c r="P42" s="32"/>
    </row>
    <row r="43">
      <c r="A43" s="11" t="s">
        <v>180</v>
      </c>
      <c r="B43" s="31">
        <v>3304.7999999999997</v>
      </c>
      <c r="C43" s="13" t="s">
        <v>181</v>
      </c>
      <c r="D43" s="13">
        <v>3.0</v>
      </c>
      <c r="E43" s="2" t="s">
        <v>182</v>
      </c>
      <c r="F43" s="2">
        <v>0.0</v>
      </c>
      <c r="G43" s="2" t="s">
        <v>54</v>
      </c>
      <c r="H43" s="2">
        <f t="shared" si="1"/>
        <v>3</v>
      </c>
      <c r="I43" s="13" t="s">
        <v>55</v>
      </c>
      <c r="K43" s="10"/>
      <c r="P43" s="32"/>
    </row>
    <row r="44">
      <c r="A44" s="11" t="s">
        <v>191</v>
      </c>
      <c r="B44" s="31">
        <v>1824.3</v>
      </c>
      <c r="C44" s="13" t="s">
        <v>192</v>
      </c>
      <c r="D44" s="13">
        <v>3.0</v>
      </c>
      <c r="E44" s="2" t="s">
        <v>193</v>
      </c>
      <c r="F44" s="2">
        <v>0.0</v>
      </c>
      <c r="G44" s="2" t="s">
        <v>194</v>
      </c>
      <c r="H44" s="2">
        <f t="shared" si="1"/>
        <v>3</v>
      </c>
      <c r="I44" s="13" t="s">
        <v>55</v>
      </c>
      <c r="K44" s="10"/>
      <c r="P44" s="32"/>
    </row>
    <row r="45">
      <c r="A45" s="11" t="s">
        <v>252</v>
      </c>
      <c r="B45" s="31">
        <v>1401.3</v>
      </c>
      <c r="C45" s="13" t="s">
        <v>253</v>
      </c>
      <c r="D45" s="13">
        <v>2.0</v>
      </c>
      <c r="E45" s="2" t="s">
        <v>254</v>
      </c>
      <c r="F45" s="2">
        <v>1.0</v>
      </c>
      <c r="G45" s="2" t="s">
        <v>255</v>
      </c>
      <c r="H45" s="2">
        <f t="shared" si="1"/>
        <v>3</v>
      </c>
      <c r="I45" s="13" t="s">
        <v>42</v>
      </c>
      <c r="K45" s="10"/>
      <c r="P45" s="32"/>
    </row>
    <row r="46">
      <c r="A46" s="11" t="s">
        <v>256</v>
      </c>
      <c r="B46" s="31">
        <v>4245.3</v>
      </c>
      <c r="C46" s="13" t="s">
        <v>257</v>
      </c>
      <c r="D46" s="13">
        <v>2.0</v>
      </c>
      <c r="E46" s="2" t="s">
        <v>258</v>
      </c>
      <c r="F46" s="2">
        <v>1.0</v>
      </c>
      <c r="G46" s="2" t="s">
        <v>259</v>
      </c>
      <c r="H46" s="2">
        <f t="shared" si="1"/>
        <v>3</v>
      </c>
      <c r="I46" s="13" t="s">
        <v>28</v>
      </c>
      <c r="K46" s="10"/>
      <c r="P46" s="32"/>
    </row>
    <row r="47">
      <c r="A47" s="11" t="s">
        <v>260</v>
      </c>
      <c r="B47" s="31">
        <v>4206.599999999999</v>
      </c>
      <c r="C47" s="13" t="s">
        <v>261</v>
      </c>
      <c r="D47" s="13">
        <v>2.0</v>
      </c>
      <c r="E47" s="2" t="s">
        <v>262</v>
      </c>
      <c r="F47" s="2">
        <v>1.0</v>
      </c>
      <c r="G47" s="2" t="s">
        <v>263</v>
      </c>
      <c r="H47" s="2">
        <f t="shared" si="1"/>
        <v>3</v>
      </c>
      <c r="I47" s="13" t="s">
        <v>42</v>
      </c>
      <c r="K47" s="10"/>
      <c r="P47" s="32"/>
    </row>
    <row r="48">
      <c r="A48" s="11" t="s">
        <v>89</v>
      </c>
      <c r="B48" s="31">
        <v>2393.4</v>
      </c>
      <c r="C48" s="13" t="s">
        <v>90</v>
      </c>
      <c r="E48" s="2" t="s">
        <v>91</v>
      </c>
      <c r="F48" s="2">
        <v>2.0</v>
      </c>
      <c r="G48" s="2" t="s">
        <v>92</v>
      </c>
      <c r="H48" s="2">
        <f t="shared" si="1"/>
        <v>2</v>
      </c>
      <c r="I48" s="13" t="s">
        <v>42</v>
      </c>
      <c r="K48" s="10"/>
      <c r="P48" s="32"/>
    </row>
    <row r="49">
      <c r="A49" s="11" t="s">
        <v>93</v>
      </c>
      <c r="B49" s="31">
        <v>2309.7</v>
      </c>
      <c r="C49" s="13" t="s">
        <v>94</v>
      </c>
      <c r="E49" s="2" t="s">
        <v>95</v>
      </c>
      <c r="F49" s="2">
        <v>1.0</v>
      </c>
      <c r="G49" s="2" t="s">
        <v>96</v>
      </c>
      <c r="H49" s="2">
        <f t="shared" si="1"/>
        <v>1</v>
      </c>
      <c r="I49" s="13" t="s">
        <v>33</v>
      </c>
      <c r="K49" s="10"/>
      <c r="P49" s="32"/>
    </row>
    <row r="50">
      <c r="A50" s="11" t="s">
        <v>130</v>
      </c>
      <c r="B50" s="31">
        <v>2285.7</v>
      </c>
      <c r="C50" s="13" t="s">
        <v>131</v>
      </c>
      <c r="D50" s="33"/>
      <c r="E50" s="2" t="s">
        <v>132</v>
      </c>
      <c r="F50" s="13">
        <v>1.0</v>
      </c>
      <c r="G50" s="19" t="s">
        <v>133</v>
      </c>
      <c r="H50" s="2">
        <f t="shared" si="1"/>
        <v>1</v>
      </c>
      <c r="I50" s="13" t="s">
        <v>42</v>
      </c>
      <c r="K50" s="10"/>
      <c r="P50" s="32"/>
    </row>
    <row r="51">
      <c r="A51" s="11" t="s">
        <v>280</v>
      </c>
      <c r="B51" s="31"/>
      <c r="C51" s="13" t="s">
        <v>281</v>
      </c>
      <c r="D51" s="13"/>
      <c r="E51" s="2"/>
      <c r="F51" s="2"/>
      <c r="G51" s="2" t="s">
        <v>282</v>
      </c>
      <c r="H51" s="2">
        <f t="shared" si="1"/>
        <v>0</v>
      </c>
      <c r="I51" s="13" t="s">
        <v>42</v>
      </c>
      <c r="K51" s="10"/>
      <c r="P51" s="32"/>
    </row>
    <row r="52">
      <c r="A52" s="11" t="s">
        <v>246</v>
      </c>
      <c r="B52" s="31">
        <v>3723.0</v>
      </c>
      <c r="C52" s="13" t="s">
        <v>247</v>
      </c>
      <c r="E52" s="2"/>
      <c r="F52" s="2">
        <v>0.0</v>
      </c>
      <c r="G52" s="2" t="s">
        <v>54</v>
      </c>
      <c r="H52" s="2">
        <f t="shared" si="1"/>
        <v>0</v>
      </c>
      <c r="I52" s="13" t="s">
        <v>55</v>
      </c>
      <c r="K52" s="10"/>
      <c r="P52" s="32"/>
    </row>
    <row r="53">
      <c r="A53" s="11"/>
      <c r="B53" s="31"/>
      <c r="C53" s="13"/>
      <c r="D53" s="14"/>
      <c r="E53" s="2"/>
      <c r="F53" s="2"/>
      <c r="G53" s="2"/>
      <c r="H53" s="2"/>
      <c r="I53" s="2"/>
      <c r="K53" s="10"/>
      <c r="P53" s="32"/>
    </row>
    <row r="54">
      <c r="A54" s="22"/>
      <c r="B54" s="22"/>
      <c r="E54" s="3"/>
      <c r="F54" s="3"/>
      <c r="G54" s="3"/>
      <c r="H54" s="3"/>
      <c r="I54" s="3"/>
      <c r="K54" s="10"/>
      <c r="P54" s="32"/>
    </row>
    <row r="55">
      <c r="A55" s="1" t="s">
        <v>283</v>
      </c>
      <c r="B55" s="34">
        <f>average(B2:B53)</f>
        <v>2847.4</v>
      </c>
      <c r="E55" s="3"/>
      <c r="F55" s="3"/>
      <c r="G55" s="3"/>
      <c r="H55" s="3"/>
      <c r="I55" s="3"/>
      <c r="K55" s="10"/>
      <c r="P55" s="32"/>
    </row>
    <row r="56">
      <c r="E56" s="3"/>
      <c r="F56" s="3"/>
      <c r="G56" s="3"/>
      <c r="H56" s="3"/>
      <c r="I56" s="3"/>
      <c r="K56" s="10"/>
      <c r="P56" s="32"/>
    </row>
    <row r="57">
      <c r="A57" s="1" t="s">
        <v>54</v>
      </c>
      <c r="B57" s="21"/>
      <c r="C57" s="35">
        <v>11.0</v>
      </c>
      <c r="E57" s="3"/>
      <c r="F57" s="3"/>
      <c r="G57" s="3"/>
      <c r="H57" s="3"/>
      <c r="I57" s="35">
        <f>countif(I2:I52, "P")</f>
        <v>11</v>
      </c>
      <c r="K57" s="10"/>
      <c r="P57" s="32"/>
    </row>
    <row r="58">
      <c r="A58" s="1" t="s">
        <v>155</v>
      </c>
      <c r="B58" s="21"/>
      <c r="C58" s="35">
        <v>14.0</v>
      </c>
      <c r="E58" s="3"/>
      <c r="F58" s="3"/>
      <c r="G58" s="3"/>
      <c r="H58" s="3"/>
      <c r="I58" s="35">
        <f>countif(I2:I52, "E")</f>
        <v>14</v>
      </c>
      <c r="K58" s="10"/>
      <c r="P58" s="32"/>
    </row>
    <row r="59">
      <c r="A59" s="1" t="s">
        <v>323</v>
      </c>
      <c r="B59" s="21"/>
      <c r="C59" s="36">
        <v>9.0</v>
      </c>
      <c r="E59" s="3"/>
      <c r="F59" s="3"/>
      <c r="G59" s="3"/>
      <c r="H59" s="3"/>
      <c r="I59" s="36">
        <f>countif(I2:I52, "FP")</f>
        <v>9</v>
      </c>
      <c r="K59" s="10"/>
      <c r="P59" s="32"/>
    </row>
    <row r="60">
      <c r="A60" s="1" t="s">
        <v>324</v>
      </c>
      <c r="B60" s="21"/>
      <c r="C60" s="35">
        <v>4.0</v>
      </c>
      <c r="E60" s="3"/>
      <c r="F60" s="3"/>
      <c r="G60" s="3"/>
      <c r="H60" s="3"/>
      <c r="I60" s="35">
        <f>countif(I2:I52, "FPR")</f>
        <v>4</v>
      </c>
      <c r="K60" s="10"/>
      <c r="P60" s="32"/>
    </row>
    <row r="61">
      <c r="A61" s="1" t="s">
        <v>275</v>
      </c>
      <c r="B61" s="21"/>
      <c r="C61" s="35">
        <v>13.0</v>
      </c>
      <c r="E61" s="3"/>
      <c r="F61" s="3"/>
      <c r="G61" s="3"/>
      <c r="H61" s="3"/>
      <c r="I61" s="35">
        <f>countif(I2:I52, "FPR")+countif(I2:I52, "FP")</f>
        <v>13</v>
      </c>
      <c r="K61" s="10"/>
      <c r="P61" s="32"/>
    </row>
    <row r="62">
      <c r="A62" s="1" t="s">
        <v>284</v>
      </c>
      <c r="B62" s="21"/>
      <c r="C62" s="35">
        <v>13.0</v>
      </c>
      <c r="E62" s="3"/>
      <c r="F62" s="3"/>
      <c r="G62" s="3"/>
      <c r="H62" s="3"/>
      <c r="I62" s="35">
        <f>countif(I2:I52, "U")</f>
        <v>13</v>
      </c>
      <c r="K62" s="10"/>
      <c r="P62" s="32"/>
    </row>
    <row r="63">
      <c r="A63" s="9"/>
      <c r="E63" s="3"/>
      <c r="F63" s="3"/>
      <c r="G63" s="3"/>
      <c r="H63" s="3"/>
      <c r="I63" s="3"/>
      <c r="K63" s="10"/>
      <c r="P63" s="32"/>
    </row>
    <row r="64">
      <c r="A64" s="8" t="s">
        <v>325</v>
      </c>
      <c r="B64" s="37"/>
      <c r="C64" s="20">
        <v>23.0</v>
      </c>
      <c r="E64" s="3"/>
      <c r="F64" s="3"/>
      <c r="G64" s="3"/>
      <c r="H64" s="3"/>
      <c r="I64" s="37">
        <f>sum(I58+(I62*(2/3)))</f>
        <v>22.66666667</v>
      </c>
      <c r="K64" s="10"/>
      <c r="P64" s="32"/>
    </row>
    <row r="65">
      <c r="A65" s="8" t="s">
        <v>326</v>
      </c>
      <c r="B65" s="21"/>
      <c r="C65" s="20">
        <v>28.0</v>
      </c>
      <c r="E65" s="3"/>
      <c r="F65" s="3"/>
      <c r="G65" s="3"/>
      <c r="H65" s="3"/>
      <c r="I65" s="21">
        <f>sum(I57+I61+(I62*(1/3)))</f>
        <v>28.33333333</v>
      </c>
      <c r="K65" s="10"/>
      <c r="P65" s="32"/>
    </row>
    <row r="66">
      <c r="E66" s="3"/>
      <c r="F66" s="3"/>
      <c r="G66" s="3"/>
      <c r="H66" s="3"/>
      <c r="I66" s="3"/>
      <c r="K66" s="10"/>
      <c r="P66" s="32"/>
    </row>
    <row r="67">
      <c r="A67" s="1" t="s">
        <v>287</v>
      </c>
      <c r="E67" s="3"/>
      <c r="F67" s="3"/>
      <c r="G67" s="3"/>
      <c r="H67" s="3"/>
      <c r="I67" s="2" t="s">
        <v>54</v>
      </c>
      <c r="K67" s="10"/>
      <c r="P67" s="32"/>
    </row>
    <row r="68">
      <c r="E68" s="3"/>
      <c r="F68" s="3"/>
      <c r="G68" s="3"/>
      <c r="H68" s="3"/>
      <c r="I68" s="3"/>
      <c r="K68" s="10"/>
      <c r="P68" s="32"/>
    </row>
    <row r="69">
      <c r="A69" s="28"/>
      <c r="B69" s="38"/>
      <c r="E69" s="3"/>
      <c r="F69" s="3"/>
      <c r="G69" s="3"/>
      <c r="H69" s="3"/>
      <c r="I69" s="3"/>
      <c r="K69" s="10"/>
      <c r="P69" s="32"/>
    </row>
    <row r="70">
      <c r="B70" s="38"/>
      <c r="E70" s="2" t="s">
        <v>223</v>
      </c>
      <c r="F70" s="3"/>
      <c r="G70" s="2" t="s">
        <v>224</v>
      </c>
      <c r="H70" s="3"/>
      <c r="I70" s="3"/>
      <c r="K70" s="10"/>
      <c r="P70" s="32"/>
    </row>
    <row r="71">
      <c r="A71" s="1"/>
      <c r="B71" s="39" t="s">
        <v>0</v>
      </c>
      <c r="E71" s="2" t="s">
        <v>228</v>
      </c>
      <c r="F71" s="3"/>
      <c r="G71" s="2" t="s">
        <v>229</v>
      </c>
      <c r="H71" s="3"/>
      <c r="I71" s="3"/>
      <c r="K71" s="10"/>
      <c r="P71" s="32"/>
    </row>
    <row r="72">
      <c r="A72" s="13"/>
      <c r="B72" s="40">
        <v>8165.099999999999</v>
      </c>
      <c r="E72" s="2" t="s">
        <v>236</v>
      </c>
      <c r="F72" s="3"/>
      <c r="G72" s="2" t="s">
        <v>237</v>
      </c>
      <c r="H72" s="3"/>
      <c r="I72" s="3"/>
      <c r="K72" s="10"/>
      <c r="P72" s="32"/>
    </row>
    <row r="73">
      <c r="A73" s="13"/>
      <c r="B73" s="40">
        <v>5149.2</v>
      </c>
      <c r="E73" s="2" t="s">
        <v>269</v>
      </c>
      <c r="F73" s="3"/>
      <c r="G73" s="2" t="s">
        <v>270</v>
      </c>
      <c r="H73" s="3"/>
      <c r="I73" s="3"/>
      <c r="K73" s="10"/>
      <c r="P73" s="32"/>
    </row>
    <row r="74">
      <c r="A74" s="13"/>
      <c r="B74" s="40">
        <v>5694.0</v>
      </c>
      <c r="E74" s="2" t="s">
        <v>273</v>
      </c>
      <c r="F74" s="3"/>
      <c r="G74" s="2" t="s">
        <v>274</v>
      </c>
      <c r="H74" s="3"/>
      <c r="I74" s="3"/>
      <c r="K74" s="10"/>
      <c r="P74" s="32"/>
    </row>
    <row r="75">
      <c r="A75" s="13"/>
      <c r="B75" s="40">
        <v>2433.6</v>
      </c>
      <c r="E75" s="2" t="s">
        <v>136</v>
      </c>
      <c r="F75" s="3"/>
      <c r="G75" s="2" t="s">
        <v>137</v>
      </c>
      <c r="H75" s="3"/>
      <c r="I75" s="3"/>
      <c r="K75" s="10"/>
      <c r="P75" s="32"/>
    </row>
    <row r="76">
      <c r="A76" s="13"/>
      <c r="B76" s="40">
        <v>4153.2</v>
      </c>
      <c r="E76" s="2" t="s">
        <v>145</v>
      </c>
      <c r="F76" s="3"/>
      <c r="G76" s="2" t="s">
        <v>146</v>
      </c>
      <c r="H76" s="3"/>
      <c r="I76" s="3"/>
      <c r="K76" s="10"/>
      <c r="P76" s="32"/>
    </row>
    <row r="77">
      <c r="A77" s="13"/>
      <c r="B77" s="40">
        <v>6292.2</v>
      </c>
      <c r="E77" s="2" t="s">
        <v>153</v>
      </c>
      <c r="F77" s="3"/>
      <c r="G77" s="2" t="s">
        <v>154</v>
      </c>
      <c r="H77" s="3"/>
      <c r="I77" s="3"/>
      <c r="K77" s="10"/>
      <c r="P77" s="32"/>
    </row>
    <row r="78">
      <c r="A78" s="13"/>
      <c r="B78" s="40">
        <v>5215.2</v>
      </c>
      <c r="E78" s="2" t="s">
        <v>141</v>
      </c>
      <c r="F78" s="3"/>
      <c r="G78" s="2" t="s">
        <v>142</v>
      </c>
      <c r="H78" s="3"/>
      <c r="I78" s="3"/>
      <c r="K78" s="10"/>
      <c r="P78" s="32"/>
    </row>
    <row r="79">
      <c r="A79" s="13"/>
      <c r="B79" s="40">
        <v>7699.2</v>
      </c>
      <c r="E79" s="2" t="s">
        <v>62</v>
      </c>
      <c r="F79" s="3"/>
      <c r="G79" s="2" t="s">
        <v>63</v>
      </c>
      <c r="H79" s="3"/>
      <c r="I79" s="3"/>
      <c r="K79" s="10"/>
      <c r="P79" s="32"/>
    </row>
    <row r="80">
      <c r="A80" s="13"/>
      <c r="B80" s="40">
        <v>6031.2</v>
      </c>
      <c r="E80" s="2" t="s">
        <v>70</v>
      </c>
      <c r="F80" s="3"/>
      <c r="G80" s="2" t="s">
        <v>71</v>
      </c>
      <c r="H80" s="3"/>
      <c r="I80" s="3"/>
      <c r="K80" s="10"/>
      <c r="P80" s="32"/>
    </row>
    <row r="81">
      <c r="A81" s="13"/>
      <c r="B81" s="40">
        <v>3699.0</v>
      </c>
      <c r="E81" s="2" t="s">
        <v>232</v>
      </c>
      <c r="F81" s="3"/>
      <c r="G81" s="2" t="s">
        <v>233</v>
      </c>
      <c r="H81" s="3"/>
      <c r="I81" s="3"/>
      <c r="K81" s="10"/>
      <c r="P81" s="32"/>
    </row>
    <row r="82">
      <c r="A82" s="13"/>
      <c r="B82" s="40">
        <v>2638.2</v>
      </c>
      <c r="E82" s="2" t="s">
        <v>66</v>
      </c>
      <c r="F82" s="3"/>
      <c r="G82" s="2" t="s">
        <v>67</v>
      </c>
      <c r="H82" s="3"/>
      <c r="I82" s="3"/>
      <c r="K82" s="10"/>
      <c r="P82" s="32"/>
    </row>
    <row r="83">
      <c r="A83" s="13"/>
      <c r="B83" s="40">
        <v>4510.5</v>
      </c>
      <c r="E83" s="3"/>
      <c r="F83" s="3"/>
      <c r="G83" s="3"/>
      <c r="H83" s="3"/>
      <c r="I83" s="3"/>
      <c r="K83" s="10"/>
      <c r="P83" s="32"/>
    </row>
    <row r="84">
      <c r="B84" s="41">
        <v>7212.599999999999</v>
      </c>
      <c r="E84" s="3"/>
      <c r="F84" s="3"/>
      <c r="G84" s="3"/>
      <c r="H84" s="3"/>
      <c r="I84" s="3"/>
      <c r="K84" s="10"/>
      <c r="P84" s="32"/>
    </row>
    <row r="85">
      <c r="E85" s="3"/>
      <c r="F85" s="3"/>
      <c r="G85" s="3"/>
      <c r="H85" s="3"/>
      <c r="I85" s="3"/>
      <c r="K85" s="10"/>
      <c r="P85" s="32"/>
    </row>
    <row r="86">
      <c r="A86" s="1"/>
      <c r="B86" s="34">
        <v>5299.4769230769225</v>
      </c>
      <c r="E86" s="3"/>
      <c r="F86" s="3"/>
      <c r="G86" s="3"/>
      <c r="H86" s="3"/>
      <c r="I86" s="3"/>
      <c r="K86" s="10"/>
      <c r="P86" s="32"/>
    </row>
    <row r="87">
      <c r="E87" s="3"/>
      <c r="F87" s="3"/>
      <c r="G87" s="3"/>
      <c r="H87" s="3"/>
      <c r="I87" s="3"/>
      <c r="K87" s="10"/>
      <c r="P87" s="32"/>
    </row>
    <row r="88">
      <c r="E88" s="3"/>
      <c r="F88" s="3"/>
      <c r="G88" s="3"/>
      <c r="H88" s="3"/>
      <c r="I88" s="3"/>
      <c r="K88" s="10"/>
      <c r="P88" s="32"/>
    </row>
    <row r="89">
      <c r="E89" s="3"/>
      <c r="F89" s="3"/>
      <c r="G89" s="3"/>
      <c r="H89" s="3"/>
      <c r="I89" s="3"/>
      <c r="K89" s="10"/>
      <c r="P89" s="32"/>
    </row>
    <row r="90">
      <c r="E90" s="3"/>
      <c r="F90" s="3"/>
      <c r="G90" s="3"/>
      <c r="H90" s="3"/>
      <c r="I90" s="3"/>
      <c r="K90" s="10"/>
      <c r="P90" s="32"/>
    </row>
    <row r="91">
      <c r="E91" s="3"/>
      <c r="F91" s="3"/>
      <c r="G91" s="3"/>
      <c r="H91" s="3"/>
      <c r="I91" s="3"/>
      <c r="K91" s="10"/>
      <c r="P91" s="32"/>
    </row>
    <row r="92">
      <c r="E92" s="3"/>
      <c r="F92" s="3"/>
      <c r="G92" s="3"/>
      <c r="H92" s="3"/>
      <c r="I92" s="3"/>
      <c r="K92" s="10"/>
      <c r="P92" s="32"/>
    </row>
    <row r="93">
      <c r="E93" s="3"/>
      <c r="F93" s="3"/>
      <c r="G93" s="3"/>
      <c r="H93" s="3"/>
      <c r="I93" s="3"/>
      <c r="K93" s="10"/>
      <c r="P93" s="32"/>
    </row>
    <row r="94">
      <c r="E94" s="3"/>
      <c r="F94" s="3"/>
      <c r="G94" s="3"/>
      <c r="H94" s="3"/>
      <c r="I94" s="3"/>
      <c r="K94" s="10"/>
      <c r="P94" s="32"/>
    </row>
    <row r="95">
      <c r="E95" s="3"/>
      <c r="F95" s="3"/>
      <c r="G95" s="3"/>
      <c r="H95" s="3"/>
      <c r="I95" s="3"/>
      <c r="K95" s="10"/>
      <c r="P95" s="32"/>
    </row>
    <row r="96">
      <c r="E96" s="3"/>
      <c r="F96" s="3"/>
      <c r="G96" s="3"/>
      <c r="H96" s="3"/>
      <c r="I96" s="3"/>
      <c r="K96" s="10"/>
      <c r="P96" s="32"/>
    </row>
    <row r="97">
      <c r="E97" s="3"/>
      <c r="F97" s="3"/>
      <c r="G97" s="3"/>
      <c r="H97" s="3"/>
      <c r="I97" s="3"/>
      <c r="K97" s="10"/>
      <c r="P97" s="32"/>
    </row>
    <row r="98">
      <c r="E98" s="3"/>
      <c r="F98" s="3"/>
      <c r="G98" s="3"/>
      <c r="H98" s="3"/>
      <c r="I98" s="3"/>
      <c r="K98" s="10"/>
      <c r="P98" s="32"/>
    </row>
    <row r="99">
      <c r="E99" s="3"/>
      <c r="F99" s="3"/>
      <c r="G99" s="3"/>
      <c r="H99" s="3"/>
      <c r="I99" s="3"/>
      <c r="K99" s="10"/>
      <c r="P99" s="32"/>
    </row>
    <row r="100">
      <c r="E100" s="3"/>
      <c r="F100" s="3"/>
      <c r="G100" s="3"/>
      <c r="H100" s="3"/>
      <c r="I100" s="3"/>
      <c r="K100" s="10"/>
      <c r="P100" s="32"/>
    </row>
    <row r="101">
      <c r="E101" s="3"/>
      <c r="F101" s="3"/>
      <c r="G101" s="3"/>
      <c r="H101" s="3"/>
      <c r="I101" s="3"/>
      <c r="K101" s="10"/>
      <c r="P101" s="32"/>
    </row>
    <row r="102">
      <c r="E102" s="3"/>
      <c r="F102" s="3"/>
      <c r="G102" s="3"/>
      <c r="H102" s="3"/>
      <c r="I102" s="3"/>
      <c r="K102" s="10"/>
      <c r="P102" s="32"/>
    </row>
    <row r="103">
      <c r="E103" s="3"/>
      <c r="F103" s="3"/>
      <c r="G103" s="3"/>
      <c r="H103" s="3"/>
      <c r="I103" s="3"/>
      <c r="K103" s="10"/>
      <c r="P103" s="32"/>
    </row>
    <row r="104">
      <c r="E104" s="3"/>
      <c r="F104" s="3"/>
      <c r="G104" s="3"/>
      <c r="H104" s="3"/>
      <c r="I104" s="3"/>
      <c r="K104" s="10"/>
      <c r="P104" s="32"/>
    </row>
    <row r="105">
      <c r="E105" s="3"/>
      <c r="F105" s="3"/>
      <c r="G105" s="3"/>
      <c r="H105" s="3"/>
      <c r="I105" s="3"/>
      <c r="K105" s="10"/>
      <c r="P105" s="32"/>
    </row>
    <row r="106">
      <c r="E106" s="3"/>
      <c r="F106" s="3"/>
      <c r="G106" s="3"/>
      <c r="H106" s="3"/>
      <c r="I106" s="3"/>
      <c r="K106" s="10"/>
      <c r="P106" s="32"/>
    </row>
    <row r="107">
      <c r="E107" s="3"/>
      <c r="F107" s="3"/>
      <c r="G107" s="3"/>
      <c r="H107" s="3"/>
      <c r="I107" s="3"/>
      <c r="K107" s="10"/>
      <c r="P107" s="32"/>
    </row>
    <row r="108">
      <c r="E108" s="3"/>
      <c r="F108" s="3"/>
      <c r="G108" s="3"/>
      <c r="H108" s="3"/>
      <c r="I108" s="3"/>
      <c r="K108" s="10"/>
      <c r="P108" s="32"/>
    </row>
    <row r="109">
      <c r="E109" s="3"/>
      <c r="F109" s="3"/>
      <c r="G109" s="3"/>
      <c r="H109" s="3"/>
      <c r="I109" s="3"/>
      <c r="K109" s="10"/>
      <c r="P109" s="32"/>
    </row>
    <row r="110">
      <c r="E110" s="3"/>
      <c r="F110" s="3"/>
      <c r="G110" s="3"/>
      <c r="H110" s="3"/>
      <c r="I110" s="3"/>
      <c r="K110" s="10"/>
      <c r="P110" s="32"/>
    </row>
    <row r="111">
      <c r="E111" s="3"/>
      <c r="F111" s="3"/>
      <c r="G111" s="3"/>
      <c r="H111" s="3"/>
      <c r="I111" s="3"/>
      <c r="K111" s="10"/>
      <c r="P111" s="32"/>
    </row>
    <row r="112">
      <c r="E112" s="3"/>
      <c r="F112" s="3"/>
      <c r="G112" s="3"/>
      <c r="H112" s="3"/>
      <c r="I112" s="3"/>
      <c r="K112" s="10"/>
      <c r="P112" s="32"/>
    </row>
    <row r="113">
      <c r="E113" s="3"/>
      <c r="F113" s="3"/>
      <c r="G113" s="3"/>
      <c r="H113" s="3"/>
      <c r="I113" s="3"/>
      <c r="K113" s="10"/>
      <c r="P113" s="32"/>
    </row>
    <row r="114">
      <c r="E114" s="3"/>
      <c r="F114" s="3"/>
      <c r="G114" s="3"/>
      <c r="H114" s="3"/>
      <c r="I114" s="3"/>
      <c r="K114" s="10"/>
      <c r="P114" s="32"/>
    </row>
    <row r="115">
      <c r="E115" s="3"/>
      <c r="F115" s="3"/>
      <c r="G115" s="3"/>
      <c r="H115" s="3"/>
      <c r="I115" s="3"/>
      <c r="K115" s="10"/>
      <c r="P115" s="32"/>
    </row>
    <row r="116">
      <c r="E116" s="3"/>
      <c r="F116" s="3"/>
      <c r="G116" s="3"/>
      <c r="H116" s="3"/>
      <c r="I116" s="3"/>
      <c r="K116" s="10"/>
      <c r="P116" s="32"/>
    </row>
    <row r="117">
      <c r="E117" s="3"/>
      <c r="F117" s="3"/>
      <c r="G117" s="3"/>
      <c r="H117" s="3"/>
      <c r="I117" s="3"/>
      <c r="K117" s="10"/>
      <c r="P117" s="32"/>
    </row>
    <row r="118">
      <c r="E118" s="3"/>
      <c r="F118" s="3"/>
      <c r="G118" s="3"/>
      <c r="H118" s="3"/>
      <c r="I118" s="3"/>
      <c r="K118" s="10"/>
      <c r="P118" s="32"/>
    </row>
    <row r="119">
      <c r="E119" s="3"/>
      <c r="F119" s="3"/>
      <c r="G119" s="3"/>
      <c r="H119" s="3"/>
      <c r="I119" s="3"/>
      <c r="K119" s="10"/>
      <c r="P119" s="32"/>
    </row>
    <row r="120">
      <c r="E120" s="3"/>
      <c r="F120" s="3"/>
      <c r="G120" s="3"/>
      <c r="H120" s="3"/>
      <c r="I120" s="3"/>
      <c r="K120" s="10"/>
      <c r="P120" s="32"/>
    </row>
    <row r="121">
      <c r="E121" s="3"/>
      <c r="F121" s="3"/>
      <c r="G121" s="3"/>
      <c r="H121" s="3"/>
      <c r="I121" s="3"/>
      <c r="K121" s="10"/>
      <c r="P121" s="32"/>
    </row>
    <row r="122">
      <c r="E122" s="3"/>
      <c r="F122" s="3"/>
      <c r="G122" s="3"/>
      <c r="H122" s="3"/>
      <c r="I122" s="3"/>
      <c r="K122" s="10"/>
      <c r="P122" s="32"/>
    </row>
    <row r="123">
      <c r="E123" s="3"/>
      <c r="F123" s="3"/>
      <c r="G123" s="3"/>
      <c r="H123" s="3"/>
      <c r="I123" s="3"/>
      <c r="K123" s="10"/>
      <c r="P123" s="32"/>
    </row>
    <row r="124">
      <c r="E124" s="3"/>
      <c r="F124" s="3"/>
      <c r="G124" s="3"/>
      <c r="H124" s="3"/>
      <c r="I124" s="3"/>
      <c r="K124" s="10"/>
      <c r="P124" s="32"/>
    </row>
    <row r="125">
      <c r="E125" s="3"/>
      <c r="F125" s="3"/>
      <c r="G125" s="3"/>
      <c r="H125" s="3"/>
      <c r="I125" s="3"/>
      <c r="K125" s="10"/>
      <c r="P125" s="32"/>
    </row>
    <row r="126">
      <c r="E126" s="3"/>
      <c r="F126" s="3"/>
      <c r="G126" s="3"/>
      <c r="H126" s="3"/>
      <c r="I126" s="3"/>
      <c r="K126" s="10"/>
      <c r="P126" s="32"/>
    </row>
    <row r="127">
      <c r="E127" s="3"/>
      <c r="F127" s="3"/>
      <c r="G127" s="3"/>
      <c r="H127" s="3"/>
      <c r="I127" s="3"/>
      <c r="K127" s="10"/>
      <c r="P127" s="32"/>
    </row>
    <row r="128">
      <c r="E128" s="3"/>
      <c r="F128" s="3"/>
      <c r="G128" s="3"/>
      <c r="H128" s="3"/>
      <c r="I128" s="3"/>
      <c r="K128" s="10"/>
      <c r="P128" s="32"/>
    </row>
    <row r="129">
      <c r="E129" s="3"/>
      <c r="F129" s="3"/>
      <c r="G129" s="3"/>
      <c r="H129" s="3"/>
      <c r="I129" s="3"/>
      <c r="K129" s="10"/>
      <c r="P129" s="32"/>
    </row>
    <row r="130">
      <c r="E130" s="3"/>
      <c r="F130" s="3"/>
      <c r="G130" s="3"/>
      <c r="H130" s="3"/>
      <c r="I130" s="3"/>
      <c r="K130" s="10"/>
      <c r="P130" s="32"/>
    </row>
    <row r="131">
      <c r="E131" s="3"/>
      <c r="F131" s="3"/>
      <c r="G131" s="3"/>
      <c r="H131" s="3"/>
      <c r="I131" s="3"/>
      <c r="K131" s="10"/>
      <c r="P131" s="32"/>
    </row>
    <row r="132">
      <c r="E132" s="3"/>
      <c r="F132" s="3"/>
      <c r="G132" s="3"/>
      <c r="H132" s="3"/>
      <c r="I132" s="3"/>
      <c r="K132" s="10"/>
      <c r="P132" s="32"/>
    </row>
    <row r="133">
      <c r="E133" s="3"/>
      <c r="F133" s="3"/>
      <c r="G133" s="3"/>
      <c r="H133" s="3"/>
      <c r="I133" s="3"/>
      <c r="K133" s="10"/>
      <c r="P133" s="32"/>
    </row>
    <row r="134">
      <c r="E134" s="3"/>
      <c r="F134" s="3"/>
      <c r="G134" s="3"/>
      <c r="H134" s="3"/>
      <c r="I134" s="3"/>
      <c r="K134" s="10"/>
      <c r="P134" s="32"/>
    </row>
    <row r="135">
      <c r="E135" s="3"/>
      <c r="F135" s="3"/>
      <c r="G135" s="3"/>
      <c r="H135" s="3"/>
      <c r="I135" s="3"/>
      <c r="K135" s="10"/>
      <c r="P135" s="32"/>
    </row>
    <row r="136">
      <c r="E136" s="3"/>
      <c r="F136" s="3"/>
      <c r="G136" s="3"/>
      <c r="H136" s="3"/>
      <c r="I136" s="3"/>
      <c r="K136" s="10"/>
      <c r="P136" s="32"/>
    </row>
    <row r="137">
      <c r="E137" s="3"/>
      <c r="F137" s="3"/>
      <c r="G137" s="3"/>
      <c r="H137" s="3"/>
      <c r="I137" s="3"/>
      <c r="K137" s="10"/>
      <c r="P137" s="32"/>
    </row>
    <row r="138">
      <c r="E138" s="3"/>
      <c r="F138" s="3"/>
      <c r="G138" s="3"/>
      <c r="H138" s="3"/>
      <c r="I138" s="3"/>
      <c r="K138" s="10"/>
      <c r="P138" s="32"/>
    </row>
    <row r="139">
      <c r="E139" s="3"/>
      <c r="F139" s="3"/>
      <c r="G139" s="3"/>
      <c r="H139" s="3"/>
      <c r="I139" s="3"/>
      <c r="K139" s="10"/>
      <c r="P139" s="32"/>
    </row>
    <row r="140">
      <c r="E140" s="3"/>
      <c r="F140" s="3"/>
      <c r="G140" s="3"/>
      <c r="H140" s="3"/>
      <c r="I140" s="3"/>
      <c r="K140" s="10"/>
      <c r="P140" s="32"/>
    </row>
    <row r="141">
      <c r="E141" s="3"/>
      <c r="F141" s="3"/>
      <c r="G141" s="3"/>
      <c r="H141" s="3"/>
      <c r="I141" s="3"/>
      <c r="K141" s="10"/>
      <c r="P141" s="32"/>
    </row>
    <row r="142">
      <c r="E142" s="3"/>
      <c r="F142" s="3"/>
      <c r="G142" s="3"/>
      <c r="H142" s="3"/>
      <c r="I142" s="3"/>
      <c r="K142" s="10"/>
      <c r="P142" s="32"/>
    </row>
    <row r="143">
      <c r="E143" s="3"/>
      <c r="F143" s="3"/>
      <c r="G143" s="3"/>
      <c r="H143" s="3"/>
      <c r="I143" s="3"/>
      <c r="K143" s="10"/>
      <c r="P143" s="32"/>
    </row>
    <row r="144">
      <c r="E144" s="3"/>
      <c r="F144" s="3"/>
      <c r="G144" s="3"/>
      <c r="H144" s="3"/>
      <c r="I144" s="3"/>
      <c r="K144" s="10"/>
      <c r="P144" s="32"/>
    </row>
    <row r="145">
      <c r="E145" s="3"/>
      <c r="F145" s="3"/>
      <c r="G145" s="3"/>
      <c r="H145" s="3"/>
      <c r="I145" s="3"/>
      <c r="K145" s="10"/>
      <c r="P145" s="32"/>
    </row>
    <row r="146">
      <c r="E146" s="3"/>
      <c r="F146" s="3"/>
      <c r="G146" s="3"/>
      <c r="H146" s="3"/>
      <c r="I146" s="3"/>
      <c r="K146" s="10"/>
      <c r="P146" s="32"/>
    </row>
    <row r="147">
      <c r="E147" s="3"/>
      <c r="F147" s="3"/>
      <c r="G147" s="3"/>
      <c r="H147" s="3"/>
      <c r="I147" s="3"/>
      <c r="K147" s="10"/>
      <c r="P147" s="32"/>
    </row>
    <row r="148">
      <c r="E148" s="3"/>
      <c r="F148" s="3"/>
      <c r="G148" s="3"/>
      <c r="H148" s="3"/>
      <c r="I148" s="3"/>
      <c r="K148" s="10"/>
      <c r="P148" s="32"/>
    </row>
    <row r="149">
      <c r="E149" s="3"/>
      <c r="F149" s="3"/>
      <c r="G149" s="3"/>
      <c r="H149" s="3"/>
      <c r="I149" s="3"/>
      <c r="K149" s="10"/>
      <c r="P149" s="32"/>
    </row>
    <row r="150">
      <c r="E150" s="3"/>
      <c r="F150" s="3"/>
      <c r="G150" s="3"/>
      <c r="H150" s="3"/>
      <c r="I150" s="3"/>
      <c r="K150" s="10"/>
      <c r="P150" s="32"/>
    </row>
    <row r="151">
      <c r="E151" s="3"/>
      <c r="F151" s="3"/>
      <c r="G151" s="3"/>
      <c r="H151" s="3"/>
      <c r="I151" s="3"/>
      <c r="K151" s="10"/>
      <c r="P151" s="32"/>
    </row>
    <row r="152">
      <c r="E152" s="3"/>
      <c r="F152" s="3"/>
      <c r="G152" s="3"/>
      <c r="H152" s="3"/>
      <c r="I152" s="3"/>
      <c r="K152" s="10"/>
      <c r="P152" s="32"/>
    </row>
    <row r="153">
      <c r="E153" s="3"/>
      <c r="F153" s="3"/>
      <c r="G153" s="3"/>
      <c r="H153" s="3"/>
      <c r="I153" s="3"/>
      <c r="K153" s="10"/>
      <c r="P153" s="32"/>
    </row>
    <row r="154">
      <c r="E154" s="3"/>
      <c r="F154" s="3"/>
      <c r="G154" s="3"/>
      <c r="H154" s="3"/>
      <c r="I154" s="3"/>
      <c r="K154" s="10"/>
      <c r="P154" s="32"/>
    </row>
    <row r="155">
      <c r="E155" s="3"/>
      <c r="F155" s="3"/>
      <c r="G155" s="3"/>
      <c r="H155" s="3"/>
      <c r="I155" s="3"/>
      <c r="K155" s="10"/>
      <c r="P155" s="32"/>
    </row>
    <row r="156">
      <c r="E156" s="3"/>
      <c r="F156" s="3"/>
      <c r="G156" s="3"/>
      <c r="H156" s="3"/>
      <c r="I156" s="3"/>
      <c r="K156" s="10"/>
      <c r="P156" s="32"/>
    </row>
    <row r="157">
      <c r="E157" s="3"/>
      <c r="F157" s="3"/>
      <c r="G157" s="3"/>
      <c r="H157" s="3"/>
      <c r="I157" s="3"/>
      <c r="K157" s="10"/>
      <c r="P157" s="32"/>
    </row>
    <row r="158">
      <c r="E158" s="3"/>
      <c r="F158" s="3"/>
      <c r="G158" s="3"/>
      <c r="H158" s="3"/>
      <c r="I158" s="3"/>
      <c r="K158" s="10"/>
      <c r="P158" s="32"/>
    </row>
    <row r="159">
      <c r="E159" s="3"/>
      <c r="F159" s="3"/>
      <c r="G159" s="3"/>
      <c r="H159" s="3"/>
      <c r="I159" s="3"/>
      <c r="K159" s="10"/>
      <c r="P159" s="32"/>
    </row>
    <row r="160">
      <c r="E160" s="3"/>
      <c r="F160" s="3"/>
      <c r="G160" s="3"/>
      <c r="H160" s="3"/>
      <c r="I160" s="3"/>
      <c r="K160" s="10"/>
      <c r="P160" s="32"/>
    </row>
    <row r="161">
      <c r="E161" s="3"/>
      <c r="F161" s="3"/>
      <c r="G161" s="3"/>
      <c r="H161" s="3"/>
      <c r="I161" s="3"/>
      <c r="K161" s="10"/>
      <c r="P161" s="32"/>
    </row>
    <row r="162">
      <c r="E162" s="3"/>
      <c r="F162" s="3"/>
      <c r="G162" s="3"/>
      <c r="H162" s="3"/>
      <c r="I162" s="3"/>
      <c r="K162" s="10"/>
      <c r="P162" s="32"/>
    </row>
    <row r="163">
      <c r="E163" s="3"/>
      <c r="F163" s="3"/>
      <c r="G163" s="3"/>
      <c r="H163" s="3"/>
      <c r="I163" s="3"/>
      <c r="K163" s="10"/>
      <c r="P163" s="32"/>
    </row>
    <row r="164">
      <c r="E164" s="3"/>
      <c r="F164" s="3"/>
      <c r="G164" s="3"/>
      <c r="H164" s="3"/>
      <c r="I164" s="3"/>
      <c r="K164" s="10"/>
      <c r="P164" s="32"/>
    </row>
    <row r="165">
      <c r="E165" s="3"/>
      <c r="F165" s="3"/>
      <c r="G165" s="3"/>
      <c r="H165" s="3"/>
      <c r="I165" s="3"/>
      <c r="K165" s="10"/>
      <c r="P165" s="32"/>
    </row>
    <row r="166">
      <c r="E166" s="3"/>
      <c r="F166" s="3"/>
      <c r="G166" s="3"/>
      <c r="H166" s="3"/>
      <c r="I166" s="3"/>
      <c r="K166" s="10"/>
      <c r="P166" s="32"/>
    </row>
    <row r="167">
      <c r="E167" s="3"/>
      <c r="F167" s="3"/>
      <c r="G167" s="3"/>
      <c r="H167" s="3"/>
      <c r="I167" s="3"/>
      <c r="K167" s="10"/>
      <c r="P167" s="32"/>
    </row>
    <row r="168">
      <c r="E168" s="3"/>
      <c r="F168" s="3"/>
      <c r="G168" s="3"/>
      <c r="H168" s="3"/>
      <c r="I168" s="3"/>
      <c r="K168" s="10"/>
      <c r="P168" s="32"/>
    </row>
    <row r="169">
      <c r="E169" s="3"/>
      <c r="F169" s="3"/>
      <c r="G169" s="3"/>
      <c r="H169" s="3"/>
      <c r="I169" s="3"/>
      <c r="K169" s="10"/>
      <c r="P169" s="32"/>
    </row>
    <row r="170">
      <c r="E170" s="3"/>
      <c r="F170" s="3"/>
      <c r="G170" s="3"/>
      <c r="H170" s="3"/>
      <c r="I170" s="3"/>
      <c r="K170" s="10"/>
      <c r="P170" s="32"/>
    </row>
    <row r="171">
      <c r="E171" s="3"/>
      <c r="F171" s="3"/>
      <c r="G171" s="3"/>
      <c r="H171" s="3"/>
      <c r="I171" s="3"/>
      <c r="K171" s="10"/>
      <c r="P171" s="32"/>
    </row>
    <row r="172">
      <c r="E172" s="3"/>
      <c r="F172" s="3"/>
      <c r="G172" s="3"/>
      <c r="H172" s="3"/>
      <c r="I172" s="3"/>
      <c r="K172" s="10"/>
      <c r="P172" s="32"/>
    </row>
    <row r="173">
      <c r="E173" s="3"/>
      <c r="F173" s="3"/>
      <c r="G173" s="3"/>
      <c r="H173" s="3"/>
      <c r="I173" s="3"/>
      <c r="K173" s="10"/>
      <c r="P173" s="32"/>
    </row>
    <row r="174">
      <c r="E174" s="3"/>
      <c r="F174" s="3"/>
      <c r="G174" s="3"/>
      <c r="H174" s="3"/>
      <c r="I174" s="3"/>
      <c r="K174" s="10"/>
      <c r="P174" s="32"/>
    </row>
    <row r="175">
      <c r="E175" s="3"/>
      <c r="F175" s="3"/>
      <c r="G175" s="3"/>
      <c r="H175" s="3"/>
      <c r="I175" s="3"/>
      <c r="K175" s="10"/>
      <c r="P175" s="32"/>
    </row>
    <row r="176">
      <c r="E176" s="3"/>
      <c r="F176" s="3"/>
      <c r="G176" s="3"/>
      <c r="H176" s="3"/>
      <c r="I176" s="3"/>
      <c r="K176" s="10"/>
      <c r="P176" s="32"/>
    </row>
    <row r="177">
      <c r="E177" s="3"/>
      <c r="F177" s="3"/>
      <c r="G177" s="3"/>
      <c r="H177" s="3"/>
      <c r="I177" s="3"/>
      <c r="K177" s="10"/>
      <c r="P177" s="32"/>
    </row>
    <row r="178">
      <c r="E178" s="3"/>
      <c r="F178" s="3"/>
      <c r="G178" s="3"/>
      <c r="H178" s="3"/>
      <c r="I178" s="3"/>
      <c r="K178" s="10"/>
      <c r="P178" s="32"/>
    </row>
    <row r="179">
      <c r="E179" s="3"/>
      <c r="F179" s="3"/>
      <c r="G179" s="3"/>
      <c r="H179" s="3"/>
      <c r="I179" s="3"/>
      <c r="K179" s="10"/>
      <c r="P179" s="32"/>
    </row>
    <row r="180">
      <c r="E180" s="3"/>
      <c r="F180" s="3"/>
      <c r="G180" s="3"/>
      <c r="H180" s="3"/>
      <c r="I180" s="3"/>
      <c r="K180" s="10"/>
      <c r="P180" s="32"/>
    </row>
    <row r="181">
      <c r="E181" s="3"/>
      <c r="F181" s="3"/>
      <c r="G181" s="3"/>
      <c r="H181" s="3"/>
      <c r="I181" s="3"/>
      <c r="K181" s="10"/>
      <c r="P181" s="32"/>
    </row>
    <row r="182">
      <c r="E182" s="3"/>
      <c r="F182" s="3"/>
      <c r="G182" s="3"/>
      <c r="H182" s="3"/>
      <c r="I182" s="3"/>
      <c r="K182" s="10"/>
      <c r="P182" s="32"/>
    </row>
    <row r="183">
      <c r="E183" s="3"/>
      <c r="F183" s="3"/>
      <c r="G183" s="3"/>
      <c r="H183" s="3"/>
      <c r="I183" s="3"/>
      <c r="K183" s="10"/>
      <c r="P183" s="32"/>
    </row>
    <row r="184">
      <c r="E184" s="3"/>
      <c r="F184" s="3"/>
      <c r="G184" s="3"/>
      <c r="H184" s="3"/>
      <c r="I184" s="3"/>
      <c r="K184" s="10"/>
      <c r="P184" s="32"/>
    </row>
    <row r="185">
      <c r="E185" s="3"/>
      <c r="F185" s="3"/>
      <c r="G185" s="3"/>
      <c r="H185" s="3"/>
      <c r="I185" s="3"/>
      <c r="K185" s="10"/>
      <c r="P185" s="32"/>
    </row>
    <row r="186">
      <c r="E186" s="3"/>
      <c r="F186" s="3"/>
      <c r="G186" s="3"/>
      <c r="H186" s="3"/>
      <c r="I186" s="3"/>
      <c r="K186" s="10"/>
      <c r="P186" s="32"/>
    </row>
    <row r="187">
      <c r="E187" s="3"/>
      <c r="F187" s="3"/>
      <c r="G187" s="3"/>
      <c r="H187" s="3"/>
      <c r="I187" s="3"/>
      <c r="K187" s="10"/>
      <c r="P187" s="32"/>
    </row>
    <row r="188">
      <c r="E188" s="3"/>
      <c r="F188" s="3"/>
      <c r="G188" s="3"/>
      <c r="H188" s="3"/>
      <c r="I188" s="3"/>
      <c r="K188" s="10"/>
      <c r="P188" s="32"/>
    </row>
    <row r="189">
      <c r="E189" s="3"/>
      <c r="F189" s="3"/>
      <c r="G189" s="3"/>
      <c r="H189" s="3"/>
      <c r="I189" s="3"/>
      <c r="K189" s="10"/>
      <c r="P189" s="32"/>
    </row>
    <row r="190">
      <c r="E190" s="3"/>
      <c r="F190" s="3"/>
      <c r="G190" s="3"/>
      <c r="H190" s="3"/>
      <c r="I190" s="3"/>
      <c r="K190" s="10"/>
      <c r="P190" s="32"/>
    </row>
    <row r="191">
      <c r="E191" s="3"/>
      <c r="F191" s="3"/>
      <c r="G191" s="3"/>
      <c r="H191" s="3"/>
      <c r="I191" s="3"/>
      <c r="K191" s="10"/>
      <c r="P191" s="32"/>
    </row>
    <row r="192">
      <c r="E192" s="3"/>
      <c r="F192" s="3"/>
      <c r="G192" s="3"/>
      <c r="H192" s="3"/>
      <c r="I192" s="3"/>
      <c r="K192" s="10"/>
      <c r="P192" s="32"/>
    </row>
    <row r="193">
      <c r="E193" s="3"/>
      <c r="F193" s="3"/>
      <c r="G193" s="3"/>
      <c r="H193" s="3"/>
      <c r="I193" s="3"/>
      <c r="K193" s="10"/>
      <c r="P193" s="32"/>
    </row>
    <row r="194">
      <c r="E194" s="3"/>
      <c r="F194" s="3"/>
      <c r="G194" s="3"/>
      <c r="H194" s="3"/>
      <c r="I194" s="3"/>
      <c r="K194" s="10"/>
      <c r="P194" s="32"/>
    </row>
    <row r="195">
      <c r="E195" s="3"/>
      <c r="F195" s="3"/>
      <c r="G195" s="3"/>
      <c r="H195" s="3"/>
      <c r="I195" s="3"/>
      <c r="K195" s="10"/>
      <c r="P195" s="32"/>
    </row>
    <row r="196">
      <c r="E196" s="3"/>
      <c r="F196" s="3"/>
      <c r="G196" s="3"/>
      <c r="H196" s="3"/>
      <c r="I196" s="3"/>
      <c r="K196" s="10"/>
      <c r="P196" s="32"/>
    </row>
    <row r="197">
      <c r="E197" s="3"/>
      <c r="F197" s="3"/>
      <c r="G197" s="3"/>
      <c r="H197" s="3"/>
      <c r="I197" s="3"/>
      <c r="K197" s="10"/>
      <c r="P197" s="32"/>
    </row>
    <row r="198">
      <c r="E198" s="3"/>
      <c r="F198" s="3"/>
      <c r="G198" s="3"/>
      <c r="H198" s="3"/>
      <c r="I198" s="3"/>
      <c r="K198" s="10"/>
      <c r="P198" s="32"/>
    </row>
    <row r="199">
      <c r="E199" s="3"/>
      <c r="F199" s="3"/>
      <c r="G199" s="3"/>
      <c r="H199" s="3"/>
      <c r="I199" s="3"/>
      <c r="K199" s="10"/>
      <c r="P199" s="32"/>
    </row>
    <row r="200">
      <c r="E200" s="3"/>
      <c r="F200" s="3"/>
      <c r="G200" s="3"/>
      <c r="H200" s="3"/>
      <c r="I200" s="3"/>
      <c r="K200" s="10"/>
      <c r="P200" s="32"/>
    </row>
    <row r="201">
      <c r="E201" s="3"/>
      <c r="F201" s="3"/>
      <c r="G201" s="3"/>
      <c r="H201" s="3"/>
      <c r="I201" s="3"/>
      <c r="K201" s="10"/>
      <c r="P201" s="32"/>
    </row>
    <row r="202">
      <c r="E202" s="3"/>
      <c r="F202" s="3"/>
      <c r="G202" s="3"/>
      <c r="H202" s="3"/>
      <c r="I202" s="3"/>
      <c r="K202" s="10"/>
      <c r="P202" s="32"/>
    </row>
    <row r="203">
      <c r="E203" s="3"/>
      <c r="F203" s="3"/>
      <c r="G203" s="3"/>
      <c r="H203" s="3"/>
      <c r="I203" s="3"/>
      <c r="K203" s="10"/>
      <c r="P203" s="32"/>
    </row>
    <row r="204">
      <c r="E204" s="3"/>
      <c r="F204" s="3"/>
      <c r="G204" s="3"/>
      <c r="H204" s="3"/>
      <c r="I204" s="3"/>
      <c r="K204" s="10"/>
      <c r="P204" s="32"/>
    </row>
    <row r="205">
      <c r="E205" s="3"/>
      <c r="F205" s="3"/>
      <c r="G205" s="3"/>
      <c r="H205" s="3"/>
      <c r="I205" s="3"/>
      <c r="K205" s="10"/>
      <c r="P205" s="32"/>
    </row>
    <row r="206">
      <c r="E206" s="3"/>
      <c r="F206" s="3"/>
      <c r="G206" s="3"/>
      <c r="H206" s="3"/>
      <c r="I206" s="3"/>
      <c r="K206" s="10"/>
      <c r="P206" s="32"/>
    </row>
    <row r="207">
      <c r="E207" s="3"/>
      <c r="F207" s="3"/>
      <c r="G207" s="3"/>
      <c r="H207" s="3"/>
      <c r="I207" s="3"/>
      <c r="K207" s="10"/>
      <c r="P207" s="32"/>
    </row>
    <row r="208">
      <c r="E208" s="3"/>
      <c r="F208" s="3"/>
      <c r="G208" s="3"/>
      <c r="H208" s="3"/>
      <c r="I208" s="3"/>
      <c r="K208" s="10"/>
      <c r="P208" s="32"/>
    </row>
    <row r="209">
      <c r="E209" s="3"/>
      <c r="F209" s="3"/>
      <c r="G209" s="3"/>
      <c r="H209" s="3"/>
      <c r="I209" s="3"/>
      <c r="K209" s="10"/>
      <c r="P209" s="32"/>
    </row>
    <row r="210">
      <c r="E210" s="3"/>
      <c r="F210" s="3"/>
      <c r="G210" s="3"/>
      <c r="H210" s="3"/>
      <c r="I210" s="3"/>
      <c r="K210" s="10"/>
      <c r="P210" s="32"/>
    </row>
    <row r="211">
      <c r="E211" s="3"/>
      <c r="F211" s="3"/>
      <c r="G211" s="3"/>
      <c r="H211" s="3"/>
      <c r="I211" s="3"/>
      <c r="K211" s="10"/>
      <c r="P211" s="32"/>
    </row>
    <row r="212">
      <c r="E212" s="3"/>
      <c r="F212" s="3"/>
      <c r="G212" s="3"/>
      <c r="H212" s="3"/>
      <c r="I212" s="3"/>
      <c r="K212" s="10"/>
      <c r="P212" s="32"/>
    </row>
    <row r="213">
      <c r="E213" s="3"/>
      <c r="F213" s="3"/>
      <c r="G213" s="3"/>
      <c r="H213" s="3"/>
      <c r="I213" s="3"/>
      <c r="K213" s="10"/>
      <c r="P213" s="32"/>
    </row>
    <row r="214">
      <c r="E214" s="3"/>
      <c r="F214" s="3"/>
      <c r="G214" s="3"/>
      <c r="H214" s="3"/>
      <c r="I214" s="3"/>
      <c r="K214" s="10"/>
      <c r="P214" s="32"/>
    </row>
    <row r="215">
      <c r="E215" s="3"/>
      <c r="F215" s="3"/>
      <c r="G215" s="3"/>
      <c r="H215" s="3"/>
      <c r="I215" s="3"/>
      <c r="K215" s="10"/>
      <c r="P215" s="32"/>
    </row>
    <row r="216">
      <c r="E216" s="3"/>
      <c r="F216" s="3"/>
      <c r="G216" s="3"/>
      <c r="H216" s="3"/>
      <c r="I216" s="3"/>
      <c r="K216" s="10"/>
      <c r="P216" s="32"/>
    </row>
    <row r="217">
      <c r="E217" s="3"/>
      <c r="F217" s="3"/>
      <c r="G217" s="3"/>
      <c r="H217" s="3"/>
      <c r="I217" s="3"/>
      <c r="K217" s="10"/>
      <c r="P217" s="32"/>
    </row>
    <row r="218">
      <c r="E218" s="3"/>
      <c r="F218" s="3"/>
      <c r="G218" s="3"/>
      <c r="H218" s="3"/>
      <c r="I218" s="3"/>
      <c r="K218" s="10"/>
      <c r="P218" s="32"/>
    </row>
    <row r="219">
      <c r="E219" s="3"/>
      <c r="F219" s="3"/>
      <c r="G219" s="3"/>
      <c r="H219" s="3"/>
      <c r="I219" s="3"/>
      <c r="K219" s="10"/>
      <c r="P219" s="32"/>
    </row>
    <row r="220">
      <c r="E220" s="3"/>
      <c r="F220" s="3"/>
      <c r="G220" s="3"/>
      <c r="H220" s="3"/>
      <c r="I220" s="3"/>
      <c r="K220" s="10"/>
      <c r="P220" s="32"/>
    </row>
    <row r="221">
      <c r="E221" s="3"/>
      <c r="F221" s="3"/>
      <c r="G221" s="3"/>
      <c r="H221" s="3"/>
      <c r="I221" s="3"/>
      <c r="K221" s="10"/>
      <c r="P221" s="32"/>
    </row>
    <row r="222">
      <c r="E222" s="3"/>
      <c r="F222" s="3"/>
      <c r="G222" s="3"/>
      <c r="H222" s="3"/>
      <c r="I222" s="3"/>
      <c r="K222" s="10"/>
      <c r="P222" s="32"/>
    </row>
    <row r="223">
      <c r="E223" s="3"/>
      <c r="F223" s="3"/>
      <c r="G223" s="3"/>
      <c r="H223" s="3"/>
      <c r="I223" s="3"/>
      <c r="K223" s="10"/>
      <c r="P223" s="32"/>
    </row>
    <row r="224">
      <c r="E224" s="3"/>
      <c r="F224" s="3"/>
      <c r="G224" s="3"/>
      <c r="H224" s="3"/>
      <c r="I224" s="3"/>
      <c r="K224" s="10"/>
      <c r="P224" s="32"/>
    </row>
    <row r="225">
      <c r="E225" s="3"/>
      <c r="F225" s="3"/>
      <c r="G225" s="3"/>
      <c r="H225" s="3"/>
      <c r="I225" s="3"/>
      <c r="K225" s="10"/>
      <c r="P225" s="32"/>
    </row>
    <row r="226">
      <c r="E226" s="3"/>
      <c r="F226" s="3"/>
      <c r="G226" s="3"/>
      <c r="H226" s="3"/>
      <c r="I226" s="3"/>
      <c r="K226" s="10"/>
      <c r="P226" s="32"/>
    </row>
    <row r="227">
      <c r="E227" s="3"/>
      <c r="F227" s="3"/>
      <c r="G227" s="3"/>
      <c r="H227" s="3"/>
      <c r="I227" s="3"/>
      <c r="K227" s="10"/>
      <c r="P227" s="32"/>
    </row>
    <row r="228">
      <c r="E228" s="3"/>
      <c r="F228" s="3"/>
      <c r="G228" s="3"/>
      <c r="H228" s="3"/>
      <c r="I228" s="3"/>
      <c r="K228" s="10"/>
      <c r="P228" s="32"/>
    </row>
    <row r="229">
      <c r="E229" s="3"/>
      <c r="F229" s="3"/>
      <c r="G229" s="3"/>
      <c r="H229" s="3"/>
      <c r="I229" s="3"/>
      <c r="K229" s="10"/>
      <c r="P229" s="32"/>
    </row>
    <row r="230">
      <c r="E230" s="3"/>
      <c r="F230" s="3"/>
      <c r="G230" s="3"/>
      <c r="H230" s="3"/>
      <c r="I230" s="3"/>
      <c r="K230" s="10"/>
      <c r="P230" s="32"/>
    </row>
    <row r="231">
      <c r="E231" s="3"/>
      <c r="F231" s="3"/>
      <c r="G231" s="3"/>
      <c r="H231" s="3"/>
      <c r="I231" s="3"/>
      <c r="K231" s="10"/>
      <c r="P231" s="32"/>
    </row>
    <row r="232">
      <c r="E232" s="3"/>
      <c r="F232" s="3"/>
      <c r="G232" s="3"/>
      <c r="H232" s="3"/>
      <c r="I232" s="3"/>
      <c r="K232" s="10"/>
      <c r="P232" s="32"/>
    </row>
    <row r="233">
      <c r="E233" s="3"/>
      <c r="F233" s="3"/>
      <c r="G233" s="3"/>
      <c r="H233" s="3"/>
      <c r="I233" s="3"/>
      <c r="K233" s="10"/>
      <c r="P233" s="32"/>
    </row>
    <row r="234">
      <c r="E234" s="3"/>
      <c r="F234" s="3"/>
      <c r="G234" s="3"/>
      <c r="H234" s="3"/>
      <c r="I234" s="3"/>
      <c r="K234" s="10"/>
      <c r="P234" s="32"/>
    </row>
    <row r="235">
      <c r="E235" s="3"/>
      <c r="F235" s="3"/>
      <c r="G235" s="3"/>
      <c r="H235" s="3"/>
      <c r="I235" s="3"/>
      <c r="K235" s="10"/>
      <c r="P235" s="32"/>
    </row>
    <row r="236">
      <c r="E236" s="3"/>
      <c r="F236" s="3"/>
      <c r="G236" s="3"/>
      <c r="H236" s="3"/>
      <c r="I236" s="3"/>
      <c r="K236" s="10"/>
      <c r="P236" s="32"/>
    </row>
    <row r="237">
      <c r="E237" s="3"/>
      <c r="F237" s="3"/>
      <c r="G237" s="3"/>
      <c r="H237" s="3"/>
      <c r="I237" s="3"/>
      <c r="K237" s="10"/>
      <c r="P237" s="32"/>
    </row>
    <row r="238">
      <c r="E238" s="3"/>
      <c r="F238" s="3"/>
      <c r="G238" s="3"/>
      <c r="H238" s="3"/>
      <c r="I238" s="3"/>
      <c r="K238" s="10"/>
      <c r="P238" s="32"/>
    </row>
    <row r="239">
      <c r="E239" s="3"/>
      <c r="F239" s="3"/>
      <c r="G239" s="3"/>
      <c r="H239" s="3"/>
      <c r="I239" s="3"/>
      <c r="K239" s="10"/>
      <c r="P239" s="32"/>
    </row>
    <row r="240">
      <c r="E240" s="3"/>
      <c r="F240" s="3"/>
      <c r="G240" s="3"/>
      <c r="H240" s="3"/>
      <c r="I240" s="3"/>
      <c r="K240" s="10"/>
      <c r="P240" s="32"/>
    </row>
    <row r="241">
      <c r="E241" s="3"/>
      <c r="F241" s="3"/>
      <c r="G241" s="3"/>
      <c r="H241" s="3"/>
      <c r="I241" s="3"/>
      <c r="K241" s="10"/>
      <c r="P241" s="32"/>
    </row>
    <row r="242">
      <c r="E242" s="3"/>
      <c r="F242" s="3"/>
      <c r="G242" s="3"/>
      <c r="H242" s="3"/>
      <c r="I242" s="3"/>
      <c r="K242" s="10"/>
      <c r="P242" s="32"/>
    </row>
    <row r="243">
      <c r="E243" s="3"/>
      <c r="F243" s="3"/>
      <c r="G243" s="3"/>
      <c r="H243" s="3"/>
      <c r="I243" s="3"/>
      <c r="K243" s="10"/>
      <c r="P243" s="32"/>
    </row>
    <row r="244">
      <c r="E244" s="3"/>
      <c r="F244" s="3"/>
      <c r="G244" s="3"/>
      <c r="H244" s="3"/>
      <c r="I244" s="3"/>
      <c r="K244" s="10"/>
      <c r="P244" s="32"/>
    </row>
    <row r="245">
      <c r="E245" s="3"/>
      <c r="F245" s="3"/>
      <c r="G245" s="3"/>
      <c r="H245" s="3"/>
      <c r="I245" s="3"/>
      <c r="K245" s="10"/>
      <c r="P245" s="32"/>
    </row>
    <row r="246">
      <c r="E246" s="3"/>
      <c r="F246" s="3"/>
      <c r="G246" s="3"/>
      <c r="H246" s="3"/>
      <c r="I246" s="3"/>
      <c r="K246" s="10"/>
      <c r="P246" s="32"/>
    </row>
    <row r="247">
      <c r="E247" s="3"/>
      <c r="F247" s="3"/>
      <c r="G247" s="3"/>
      <c r="H247" s="3"/>
      <c r="I247" s="3"/>
      <c r="K247" s="10"/>
      <c r="P247" s="32"/>
    </row>
    <row r="248">
      <c r="E248" s="3"/>
      <c r="F248" s="3"/>
      <c r="G248" s="3"/>
      <c r="H248" s="3"/>
      <c r="I248" s="3"/>
      <c r="K248" s="10"/>
      <c r="P248" s="32"/>
    </row>
    <row r="249">
      <c r="E249" s="3"/>
      <c r="F249" s="3"/>
      <c r="G249" s="3"/>
      <c r="H249" s="3"/>
      <c r="I249" s="3"/>
      <c r="K249" s="10"/>
      <c r="P249" s="32"/>
    </row>
    <row r="250">
      <c r="E250" s="3"/>
      <c r="F250" s="3"/>
      <c r="G250" s="3"/>
      <c r="H250" s="3"/>
      <c r="I250" s="3"/>
      <c r="K250" s="10"/>
      <c r="P250" s="32"/>
    </row>
    <row r="251">
      <c r="E251" s="3"/>
      <c r="F251" s="3"/>
      <c r="G251" s="3"/>
      <c r="H251" s="3"/>
      <c r="I251" s="3"/>
      <c r="K251" s="10"/>
      <c r="P251" s="32"/>
    </row>
    <row r="252">
      <c r="E252" s="3"/>
      <c r="F252" s="3"/>
      <c r="G252" s="3"/>
      <c r="H252" s="3"/>
      <c r="I252" s="3"/>
      <c r="K252" s="10"/>
      <c r="P252" s="32"/>
    </row>
    <row r="253">
      <c r="E253" s="3"/>
      <c r="F253" s="3"/>
      <c r="G253" s="3"/>
      <c r="H253" s="3"/>
      <c r="I253" s="3"/>
      <c r="K253" s="10"/>
      <c r="P253" s="32"/>
    </row>
    <row r="254">
      <c r="E254" s="3"/>
      <c r="F254" s="3"/>
      <c r="G254" s="3"/>
      <c r="H254" s="3"/>
      <c r="I254" s="3"/>
      <c r="K254" s="10"/>
      <c r="P254" s="32"/>
    </row>
    <row r="255">
      <c r="E255" s="3"/>
      <c r="F255" s="3"/>
      <c r="G255" s="3"/>
      <c r="H255" s="3"/>
      <c r="I255" s="3"/>
      <c r="K255" s="10"/>
      <c r="P255" s="32"/>
    </row>
    <row r="256">
      <c r="E256" s="3"/>
      <c r="F256" s="3"/>
      <c r="G256" s="3"/>
      <c r="H256" s="3"/>
      <c r="I256" s="3"/>
      <c r="K256" s="10"/>
      <c r="P256" s="32"/>
    </row>
    <row r="257">
      <c r="E257" s="3"/>
      <c r="F257" s="3"/>
      <c r="G257" s="3"/>
      <c r="H257" s="3"/>
      <c r="I257" s="3"/>
      <c r="K257" s="10"/>
      <c r="P257" s="32"/>
    </row>
    <row r="258">
      <c r="E258" s="3"/>
      <c r="F258" s="3"/>
      <c r="G258" s="3"/>
      <c r="H258" s="3"/>
      <c r="I258" s="3"/>
      <c r="K258" s="10"/>
      <c r="P258" s="32"/>
    </row>
    <row r="259">
      <c r="E259" s="3"/>
      <c r="F259" s="3"/>
      <c r="G259" s="3"/>
      <c r="H259" s="3"/>
      <c r="I259" s="3"/>
      <c r="K259" s="10"/>
      <c r="P259" s="32"/>
    </row>
    <row r="260">
      <c r="E260" s="3"/>
      <c r="F260" s="3"/>
      <c r="G260" s="3"/>
      <c r="H260" s="3"/>
      <c r="I260" s="3"/>
      <c r="K260" s="10"/>
      <c r="P260" s="32"/>
    </row>
    <row r="261">
      <c r="E261" s="3"/>
      <c r="F261" s="3"/>
      <c r="G261" s="3"/>
      <c r="H261" s="3"/>
      <c r="I261" s="3"/>
      <c r="K261" s="10"/>
      <c r="P261" s="32"/>
    </row>
    <row r="262">
      <c r="E262" s="3"/>
      <c r="F262" s="3"/>
      <c r="G262" s="3"/>
      <c r="H262" s="3"/>
      <c r="I262" s="3"/>
      <c r="K262" s="10"/>
      <c r="P262" s="32"/>
    </row>
    <row r="263">
      <c r="E263" s="3"/>
      <c r="F263" s="3"/>
      <c r="G263" s="3"/>
      <c r="H263" s="3"/>
      <c r="I263" s="3"/>
      <c r="K263" s="10"/>
      <c r="P263" s="32"/>
    </row>
    <row r="264">
      <c r="E264" s="3"/>
      <c r="F264" s="3"/>
      <c r="G264" s="3"/>
      <c r="H264" s="3"/>
      <c r="I264" s="3"/>
      <c r="K264" s="10"/>
      <c r="P264" s="32"/>
    </row>
    <row r="265">
      <c r="E265" s="3"/>
      <c r="F265" s="3"/>
      <c r="G265" s="3"/>
      <c r="H265" s="3"/>
      <c r="I265" s="3"/>
      <c r="K265" s="10"/>
      <c r="P265" s="32"/>
    </row>
    <row r="266">
      <c r="E266" s="3"/>
      <c r="F266" s="3"/>
      <c r="G266" s="3"/>
      <c r="H266" s="3"/>
      <c r="I266" s="3"/>
      <c r="K266" s="10"/>
      <c r="P266" s="32"/>
    </row>
    <row r="267">
      <c r="E267" s="3"/>
      <c r="F267" s="3"/>
      <c r="G267" s="3"/>
      <c r="H267" s="3"/>
      <c r="I267" s="3"/>
      <c r="K267" s="10"/>
      <c r="P267" s="32"/>
    </row>
    <row r="268">
      <c r="E268" s="3"/>
      <c r="F268" s="3"/>
      <c r="G268" s="3"/>
      <c r="H268" s="3"/>
      <c r="I268" s="3"/>
      <c r="K268" s="10"/>
      <c r="P268" s="32"/>
    </row>
    <row r="269">
      <c r="E269" s="3"/>
      <c r="F269" s="3"/>
      <c r="G269" s="3"/>
      <c r="H269" s="3"/>
      <c r="I269" s="3"/>
      <c r="K269" s="10"/>
      <c r="P269" s="32"/>
    </row>
    <row r="270">
      <c r="E270" s="3"/>
      <c r="F270" s="3"/>
      <c r="G270" s="3"/>
      <c r="H270" s="3"/>
      <c r="I270" s="3"/>
      <c r="K270" s="10"/>
      <c r="P270" s="32"/>
    </row>
    <row r="271">
      <c r="E271" s="3"/>
      <c r="F271" s="3"/>
      <c r="G271" s="3"/>
      <c r="H271" s="3"/>
      <c r="I271" s="3"/>
      <c r="K271" s="10"/>
      <c r="P271" s="32"/>
    </row>
    <row r="272">
      <c r="E272" s="3"/>
      <c r="F272" s="3"/>
      <c r="G272" s="3"/>
      <c r="H272" s="3"/>
      <c r="I272" s="3"/>
      <c r="K272" s="10"/>
      <c r="P272" s="32"/>
    </row>
    <row r="273">
      <c r="E273" s="3"/>
      <c r="F273" s="3"/>
      <c r="G273" s="3"/>
      <c r="H273" s="3"/>
      <c r="I273" s="3"/>
      <c r="K273" s="10"/>
      <c r="P273" s="32"/>
    </row>
    <row r="274">
      <c r="E274" s="3"/>
      <c r="F274" s="3"/>
      <c r="G274" s="3"/>
      <c r="H274" s="3"/>
      <c r="I274" s="3"/>
      <c r="K274" s="10"/>
      <c r="P274" s="32"/>
    </row>
    <row r="275">
      <c r="E275" s="3"/>
      <c r="F275" s="3"/>
      <c r="G275" s="3"/>
      <c r="H275" s="3"/>
      <c r="I275" s="3"/>
      <c r="K275" s="10"/>
      <c r="P275" s="32"/>
    </row>
    <row r="276">
      <c r="E276" s="3"/>
      <c r="F276" s="3"/>
      <c r="G276" s="3"/>
      <c r="H276" s="3"/>
      <c r="I276" s="3"/>
      <c r="K276" s="10"/>
      <c r="P276" s="32"/>
    </row>
    <row r="277">
      <c r="E277" s="3"/>
      <c r="F277" s="3"/>
      <c r="G277" s="3"/>
      <c r="H277" s="3"/>
      <c r="I277" s="3"/>
      <c r="K277" s="10"/>
      <c r="P277" s="32"/>
    </row>
    <row r="278">
      <c r="E278" s="3"/>
      <c r="F278" s="3"/>
      <c r="G278" s="3"/>
      <c r="H278" s="3"/>
      <c r="I278" s="3"/>
      <c r="K278" s="10"/>
      <c r="P278" s="32"/>
    </row>
    <row r="279">
      <c r="E279" s="3"/>
      <c r="F279" s="3"/>
      <c r="G279" s="3"/>
      <c r="H279" s="3"/>
      <c r="I279" s="3"/>
      <c r="K279" s="10"/>
      <c r="P279" s="32"/>
    </row>
    <row r="280">
      <c r="E280" s="3"/>
      <c r="F280" s="3"/>
      <c r="G280" s="3"/>
      <c r="H280" s="3"/>
      <c r="I280" s="3"/>
      <c r="K280" s="10"/>
      <c r="P280" s="32"/>
    </row>
    <row r="281">
      <c r="E281" s="3"/>
      <c r="F281" s="3"/>
      <c r="G281" s="3"/>
      <c r="H281" s="3"/>
      <c r="I281" s="3"/>
      <c r="K281" s="10"/>
      <c r="P281" s="32"/>
    </row>
    <row r="282">
      <c r="E282" s="3"/>
      <c r="F282" s="3"/>
      <c r="G282" s="3"/>
      <c r="H282" s="3"/>
      <c r="I282" s="3"/>
      <c r="K282" s="10"/>
      <c r="P282" s="32"/>
    </row>
    <row r="283">
      <c r="E283" s="3"/>
      <c r="F283" s="3"/>
      <c r="G283" s="3"/>
      <c r="H283" s="3"/>
      <c r="I283" s="3"/>
      <c r="K283" s="10"/>
      <c r="P283" s="32"/>
    </row>
    <row r="284">
      <c r="E284" s="3"/>
      <c r="F284" s="3"/>
      <c r="G284" s="3"/>
      <c r="H284" s="3"/>
      <c r="I284" s="3"/>
      <c r="K284" s="10"/>
      <c r="P284" s="32"/>
    </row>
    <row r="285">
      <c r="E285" s="3"/>
      <c r="F285" s="3"/>
      <c r="G285" s="3"/>
      <c r="H285" s="3"/>
      <c r="I285" s="3"/>
      <c r="K285" s="10"/>
      <c r="P285" s="32"/>
    </row>
    <row r="286">
      <c r="E286" s="3"/>
      <c r="F286" s="3"/>
      <c r="G286" s="3"/>
      <c r="H286" s="3"/>
      <c r="I286" s="3"/>
      <c r="K286" s="10"/>
      <c r="P286" s="32"/>
    </row>
    <row r="287">
      <c r="E287" s="3"/>
      <c r="F287" s="3"/>
      <c r="G287" s="3"/>
      <c r="H287" s="3"/>
      <c r="I287" s="3"/>
      <c r="K287" s="10"/>
      <c r="P287" s="32"/>
    </row>
    <row r="288">
      <c r="E288" s="3"/>
      <c r="F288" s="3"/>
      <c r="G288" s="3"/>
      <c r="H288" s="3"/>
      <c r="I288" s="3"/>
      <c r="K288" s="10"/>
      <c r="P288" s="32"/>
    </row>
    <row r="289">
      <c r="E289" s="3"/>
      <c r="F289" s="3"/>
      <c r="G289" s="3"/>
      <c r="H289" s="3"/>
      <c r="I289" s="3"/>
      <c r="K289" s="10"/>
      <c r="P289" s="32"/>
    </row>
    <row r="290">
      <c r="E290" s="3"/>
      <c r="F290" s="3"/>
      <c r="G290" s="3"/>
      <c r="H290" s="3"/>
      <c r="I290" s="3"/>
      <c r="K290" s="10"/>
      <c r="P290" s="32"/>
    </row>
    <row r="291">
      <c r="E291" s="3"/>
      <c r="F291" s="3"/>
      <c r="G291" s="3"/>
      <c r="H291" s="3"/>
      <c r="I291" s="3"/>
      <c r="K291" s="10"/>
      <c r="P291" s="32"/>
    </row>
    <row r="292">
      <c r="E292" s="3"/>
      <c r="F292" s="3"/>
      <c r="G292" s="3"/>
      <c r="H292" s="3"/>
      <c r="I292" s="3"/>
      <c r="K292" s="10"/>
      <c r="P292" s="32"/>
    </row>
    <row r="293">
      <c r="E293" s="3"/>
      <c r="F293" s="3"/>
      <c r="G293" s="3"/>
      <c r="H293" s="3"/>
      <c r="I293" s="3"/>
      <c r="K293" s="10"/>
      <c r="P293" s="32"/>
    </row>
    <row r="294">
      <c r="E294" s="3"/>
      <c r="F294" s="3"/>
      <c r="G294" s="3"/>
      <c r="H294" s="3"/>
      <c r="I294" s="3"/>
      <c r="K294" s="10"/>
      <c r="P294" s="32"/>
    </row>
    <row r="295">
      <c r="E295" s="3"/>
      <c r="F295" s="3"/>
      <c r="G295" s="3"/>
      <c r="H295" s="3"/>
      <c r="I295" s="3"/>
      <c r="K295" s="10"/>
      <c r="P295" s="32"/>
    </row>
    <row r="296">
      <c r="E296" s="3"/>
      <c r="F296" s="3"/>
      <c r="G296" s="3"/>
      <c r="H296" s="3"/>
      <c r="I296" s="3"/>
      <c r="K296" s="10"/>
      <c r="P296" s="32"/>
    </row>
    <row r="297">
      <c r="E297" s="3"/>
      <c r="F297" s="3"/>
      <c r="G297" s="3"/>
      <c r="H297" s="3"/>
      <c r="I297" s="3"/>
      <c r="K297" s="10"/>
      <c r="P297" s="32"/>
    </row>
    <row r="298">
      <c r="E298" s="3"/>
      <c r="F298" s="3"/>
      <c r="G298" s="3"/>
      <c r="H298" s="3"/>
      <c r="I298" s="3"/>
      <c r="K298" s="10"/>
      <c r="P298" s="32"/>
    </row>
    <row r="299">
      <c r="E299" s="3"/>
      <c r="F299" s="3"/>
      <c r="G299" s="3"/>
      <c r="H299" s="3"/>
      <c r="I299" s="3"/>
      <c r="K299" s="10"/>
      <c r="P299" s="32"/>
    </row>
    <row r="300">
      <c r="E300" s="3"/>
      <c r="F300" s="3"/>
      <c r="G300" s="3"/>
      <c r="H300" s="3"/>
      <c r="I300" s="3"/>
      <c r="K300" s="10"/>
      <c r="P300" s="32"/>
    </row>
    <row r="301">
      <c r="E301" s="3"/>
      <c r="F301" s="3"/>
      <c r="G301" s="3"/>
      <c r="H301" s="3"/>
      <c r="I301" s="3"/>
      <c r="K301" s="10"/>
      <c r="P301" s="32"/>
    </row>
    <row r="302">
      <c r="E302" s="3"/>
      <c r="F302" s="3"/>
      <c r="G302" s="3"/>
      <c r="H302" s="3"/>
      <c r="I302" s="3"/>
      <c r="K302" s="10"/>
      <c r="P302" s="32"/>
    </row>
    <row r="303">
      <c r="E303" s="3"/>
      <c r="F303" s="3"/>
      <c r="G303" s="3"/>
      <c r="H303" s="3"/>
      <c r="I303" s="3"/>
      <c r="K303" s="10"/>
      <c r="P303" s="32"/>
    </row>
    <row r="304">
      <c r="E304" s="3"/>
      <c r="F304" s="3"/>
      <c r="G304" s="3"/>
      <c r="H304" s="3"/>
      <c r="I304" s="3"/>
      <c r="K304" s="10"/>
      <c r="P304" s="32"/>
    </row>
    <row r="305">
      <c r="E305" s="3"/>
      <c r="F305" s="3"/>
      <c r="G305" s="3"/>
      <c r="H305" s="3"/>
      <c r="I305" s="3"/>
      <c r="K305" s="10"/>
      <c r="P305" s="32"/>
    </row>
    <row r="306">
      <c r="E306" s="3"/>
      <c r="F306" s="3"/>
      <c r="G306" s="3"/>
      <c r="H306" s="3"/>
      <c r="I306" s="3"/>
      <c r="K306" s="10"/>
      <c r="P306" s="32"/>
    </row>
    <row r="307">
      <c r="E307" s="3"/>
      <c r="F307" s="3"/>
      <c r="G307" s="3"/>
      <c r="H307" s="3"/>
      <c r="I307" s="3"/>
      <c r="K307" s="10"/>
      <c r="P307" s="32"/>
    </row>
    <row r="308">
      <c r="E308" s="3"/>
      <c r="F308" s="3"/>
      <c r="G308" s="3"/>
      <c r="H308" s="3"/>
      <c r="I308" s="3"/>
      <c r="K308" s="10"/>
      <c r="P308" s="32"/>
    </row>
    <row r="309">
      <c r="E309" s="3"/>
      <c r="F309" s="3"/>
      <c r="G309" s="3"/>
      <c r="H309" s="3"/>
      <c r="I309" s="3"/>
      <c r="K309" s="10"/>
      <c r="P309" s="32"/>
    </row>
    <row r="310">
      <c r="E310" s="3"/>
      <c r="F310" s="3"/>
      <c r="G310" s="3"/>
      <c r="H310" s="3"/>
      <c r="I310" s="3"/>
      <c r="K310" s="10"/>
      <c r="P310" s="32"/>
    </row>
    <row r="311">
      <c r="E311" s="3"/>
      <c r="F311" s="3"/>
      <c r="G311" s="3"/>
      <c r="H311" s="3"/>
      <c r="I311" s="3"/>
      <c r="K311" s="10"/>
      <c r="P311" s="32"/>
    </row>
    <row r="312">
      <c r="E312" s="3"/>
      <c r="F312" s="3"/>
      <c r="G312" s="3"/>
      <c r="H312" s="3"/>
      <c r="I312" s="3"/>
      <c r="K312" s="10"/>
      <c r="P312" s="32"/>
    </row>
    <row r="313">
      <c r="E313" s="3"/>
      <c r="F313" s="3"/>
      <c r="G313" s="3"/>
      <c r="H313" s="3"/>
      <c r="I313" s="3"/>
      <c r="K313" s="10"/>
      <c r="P313" s="32"/>
    </row>
    <row r="314">
      <c r="E314" s="3"/>
      <c r="F314" s="3"/>
      <c r="G314" s="3"/>
      <c r="H314" s="3"/>
      <c r="I314" s="3"/>
      <c r="K314" s="10"/>
      <c r="P314" s="32"/>
    </row>
    <row r="315">
      <c r="E315" s="3"/>
      <c r="F315" s="3"/>
      <c r="G315" s="3"/>
      <c r="H315" s="3"/>
      <c r="I315" s="3"/>
      <c r="K315" s="10"/>
      <c r="P315" s="32"/>
    </row>
    <row r="316">
      <c r="E316" s="3"/>
      <c r="F316" s="3"/>
      <c r="G316" s="3"/>
      <c r="H316" s="3"/>
      <c r="I316" s="3"/>
      <c r="K316" s="10"/>
      <c r="P316" s="32"/>
    </row>
    <row r="317">
      <c r="E317" s="3"/>
      <c r="F317" s="3"/>
      <c r="G317" s="3"/>
      <c r="H317" s="3"/>
      <c r="I317" s="3"/>
      <c r="K317" s="10"/>
      <c r="P317" s="32"/>
    </row>
    <row r="318">
      <c r="E318" s="3"/>
      <c r="F318" s="3"/>
      <c r="G318" s="3"/>
      <c r="H318" s="3"/>
      <c r="I318" s="3"/>
      <c r="K318" s="10"/>
      <c r="P318" s="32"/>
    </row>
    <row r="319">
      <c r="E319" s="3"/>
      <c r="F319" s="3"/>
      <c r="G319" s="3"/>
      <c r="H319" s="3"/>
      <c r="I319" s="3"/>
      <c r="K319" s="10"/>
      <c r="P319" s="32"/>
    </row>
    <row r="320">
      <c r="E320" s="3"/>
      <c r="F320" s="3"/>
      <c r="G320" s="3"/>
      <c r="H320" s="3"/>
      <c r="I320" s="3"/>
      <c r="K320" s="10"/>
      <c r="P320" s="32"/>
    </row>
    <row r="321">
      <c r="E321" s="3"/>
      <c r="F321" s="3"/>
      <c r="G321" s="3"/>
      <c r="H321" s="3"/>
      <c r="I321" s="3"/>
      <c r="K321" s="10"/>
      <c r="P321" s="32"/>
    </row>
    <row r="322">
      <c r="E322" s="3"/>
      <c r="F322" s="3"/>
      <c r="G322" s="3"/>
      <c r="H322" s="3"/>
      <c r="I322" s="3"/>
      <c r="K322" s="10"/>
      <c r="P322" s="32"/>
    </row>
    <row r="323">
      <c r="E323" s="3"/>
      <c r="F323" s="3"/>
      <c r="G323" s="3"/>
      <c r="H323" s="3"/>
      <c r="I323" s="3"/>
      <c r="K323" s="10"/>
      <c r="P323" s="32"/>
    </row>
    <row r="324">
      <c r="E324" s="3"/>
      <c r="F324" s="3"/>
      <c r="G324" s="3"/>
      <c r="H324" s="3"/>
      <c r="I324" s="3"/>
      <c r="K324" s="10"/>
      <c r="P324" s="32"/>
    </row>
    <row r="325">
      <c r="E325" s="3"/>
      <c r="F325" s="3"/>
      <c r="G325" s="3"/>
      <c r="H325" s="3"/>
      <c r="I325" s="3"/>
      <c r="K325" s="10"/>
      <c r="P325" s="32"/>
    </row>
    <row r="326">
      <c r="E326" s="3"/>
      <c r="F326" s="3"/>
      <c r="G326" s="3"/>
      <c r="H326" s="3"/>
      <c r="I326" s="3"/>
      <c r="K326" s="10"/>
      <c r="P326" s="32"/>
    </row>
    <row r="327">
      <c r="E327" s="3"/>
      <c r="F327" s="3"/>
      <c r="G327" s="3"/>
      <c r="H327" s="3"/>
      <c r="I327" s="3"/>
      <c r="K327" s="10"/>
      <c r="P327" s="32"/>
    </row>
    <row r="328">
      <c r="E328" s="3"/>
      <c r="F328" s="3"/>
      <c r="G328" s="3"/>
      <c r="H328" s="3"/>
      <c r="I328" s="3"/>
      <c r="K328" s="10"/>
      <c r="P328" s="32"/>
    </row>
    <row r="329">
      <c r="E329" s="3"/>
      <c r="F329" s="3"/>
      <c r="G329" s="3"/>
      <c r="H329" s="3"/>
      <c r="I329" s="3"/>
      <c r="K329" s="10"/>
      <c r="P329" s="32"/>
    </row>
    <row r="330">
      <c r="E330" s="3"/>
      <c r="F330" s="3"/>
      <c r="G330" s="3"/>
      <c r="H330" s="3"/>
      <c r="I330" s="3"/>
      <c r="K330" s="10"/>
      <c r="P330" s="32"/>
    </row>
    <row r="331">
      <c r="E331" s="3"/>
      <c r="F331" s="3"/>
      <c r="G331" s="3"/>
      <c r="H331" s="3"/>
      <c r="I331" s="3"/>
      <c r="K331" s="10"/>
      <c r="P331" s="32"/>
    </row>
    <row r="332">
      <c r="E332" s="3"/>
      <c r="F332" s="3"/>
      <c r="G332" s="3"/>
      <c r="H332" s="3"/>
      <c r="I332" s="3"/>
      <c r="K332" s="10"/>
      <c r="P332" s="32"/>
    </row>
    <row r="333">
      <c r="E333" s="3"/>
      <c r="F333" s="3"/>
      <c r="G333" s="3"/>
      <c r="H333" s="3"/>
      <c r="I333" s="3"/>
      <c r="K333" s="10"/>
      <c r="P333" s="32"/>
    </row>
    <row r="334">
      <c r="E334" s="3"/>
      <c r="F334" s="3"/>
      <c r="G334" s="3"/>
      <c r="H334" s="3"/>
      <c r="I334" s="3"/>
      <c r="K334" s="10"/>
      <c r="P334" s="32"/>
    </row>
    <row r="335">
      <c r="E335" s="3"/>
      <c r="F335" s="3"/>
      <c r="G335" s="3"/>
      <c r="H335" s="3"/>
      <c r="I335" s="3"/>
      <c r="K335" s="10"/>
      <c r="P335" s="32"/>
    </row>
    <row r="336">
      <c r="E336" s="3"/>
      <c r="F336" s="3"/>
      <c r="G336" s="3"/>
      <c r="H336" s="3"/>
      <c r="I336" s="3"/>
      <c r="K336" s="10"/>
      <c r="P336" s="32"/>
    </row>
    <row r="337">
      <c r="E337" s="3"/>
      <c r="F337" s="3"/>
      <c r="G337" s="3"/>
      <c r="H337" s="3"/>
      <c r="I337" s="3"/>
      <c r="K337" s="10"/>
      <c r="P337" s="32"/>
    </row>
    <row r="338">
      <c r="E338" s="3"/>
      <c r="F338" s="3"/>
      <c r="G338" s="3"/>
      <c r="H338" s="3"/>
      <c r="I338" s="3"/>
      <c r="K338" s="10"/>
      <c r="P338" s="32"/>
    </row>
    <row r="339">
      <c r="E339" s="3"/>
      <c r="F339" s="3"/>
      <c r="G339" s="3"/>
      <c r="H339" s="3"/>
      <c r="I339" s="3"/>
      <c r="K339" s="10"/>
      <c r="P339" s="32"/>
    </row>
    <row r="340">
      <c r="E340" s="3"/>
      <c r="F340" s="3"/>
      <c r="G340" s="3"/>
      <c r="H340" s="3"/>
      <c r="I340" s="3"/>
      <c r="K340" s="10"/>
      <c r="P340" s="32"/>
    </row>
    <row r="341">
      <c r="E341" s="3"/>
      <c r="F341" s="3"/>
      <c r="G341" s="3"/>
      <c r="H341" s="3"/>
      <c r="I341" s="3"/>
      <c r="K341" s="10"/>
      <c r="P341" s="32"/>
    </row>
    <row r="342">
      <c r="E342" s="3"/>
      <c r="F342" s="3"/>
      <c r="G342" s="3"/>
      <c r="H342" s="3"/>
      <c r="I342" s="3"/>
      <c r="K342" s="10"/>
      <c r="P342" s="32"/>
    </row>
    <row r="343">
      <c r="E343" s="3"/>
      <c r="F343" s="3"/>
      <c r="G343" s="3"/>
      <c r="H343" s="3"/>
      <c r="I343" s="3"/>
      <c r="K343" s="10"/>
      <c r="P343" s="32"/>
    </row>
    <row r="344">
      <c r="E344" s="3"/>
      <c r="F344" s="3"/>
      <c r="G344" s="3"/>
      <c r="H344" s="3"/>
      <c r="I344" s="3"/>
      <c r="K344" s="10"/>
      <c r="P344" s="32"/>
    </row>
    <row r="345">
      <c r="E345" s="3"/>
      <c r="F345" s="3"/>
      <c r="G345" s="3"/>
      <c r="H345" s="3"/>
      <c r="I345" s="3"/>
      <c r="K345" s="10"/>
      <c r="P345" s="32"/>
    </row>
    <row r="346">
      <c r="E346" s="3"/>
      <c r="F346" s="3"/>
      <c r="G346" s="3"/>
      <c r="H346" s="3"/>
      <c r="I346" s="3"/>
      <c r="K346" s="10"/>
      <c r="P346" s="32"/>
    </row>
    <row r="347">
      <c r="E347" s="3"/>
      <c r="F347" s="3"/>
      <c r="G347" s="3"/>
      <c r="H347" s="3"/>
      <c r="I347" s="3"/>
      <c r="K347" s="10"/>
      <c r="P347" s="32"/>
    </row>
    <row r="348">
      <c r="E348" s="3"/>
      <c r="F348" s="3"/>
      <c r="G348" s="3"/>
      <c r="H348" s="3"/>
      <c r="I348" s="3"/>
      <c r="K348" s="10"/>
      <c r="P348" s="32"/>
    </row>
    <row r="349">
      <c r="E349" s="3"/>
      <c r="F349" s="3"/>
      <c r="G349" s="3"/>
      <c r="H349" s="3"/>
      <c r="I349" s="3"/>
      <c r="K349" s="10"/>
      <c r="P349" s="32"/>
    </row>
    <row r="350">
      <c r="E350" s="3"/>
      <c r="F350" s="3"/>
      <c r="G350" s="3"/>
      <c r="H350" s="3"/>
      <c r="I350" s="3"/>
      <c r="K350" s="10"/>
      <c r="P350" s="32"/>
    </row>
    <row r="351">
      <c r="E351" s="3"/>
      <c r="F351" s="3"/>
      <c r="G351" s="3"/>
      <c r="H351" s="3"/>
      <c r="I351" s="3"/>
      <c r="K351" s="10"/>
      <c r="P351" s="32"/>
    </row>
    <row r="352">
      <c r="E352" s="3"/>
      <c r="F352" s="3"/>
      <c r="G352" s="3"/>
      <c r="H352" s="3"/>
      <c r="I352" s="3"/>
      <c r="K352" s="10"/>
      <c r="P352" s="32"/>
    </row>
    <row r="353">
      <c r="E353" s="3"/>
      <c r="F353" s="3"/>
      <c r="G353" s="3"/>
      <c r="H353" s="3"/>
      <c r="I353" s="3"/>
      <c r="K353" s="10"/>
      <c r="P353" s="32"/>
    </row>
    <row r="354">
      <c r="E354" s="3"/>
      <c r="F354" s="3"/>
      <c r="G354" s="3"/>
      <c r="H354" s="3"/>
      <c r="I354" s="3"/>
      <c r="K354" s="10"/>
      <c r="P354" s="32"/>
    </row>
    <row r="355">
      <c r="E355" s="3"/>
      <c r="F355" s="3"/>
      <c r="G355" s="3"/>
      <c r="H355" s="3"/>
      <c r="I355" s="3"/>
      <c r="K355" s="10"/>
      <c r="P355" s="32"/>
    </row>
    <row r="356">
      <c r="E356" s="3"/>
      <c r="F356" s="3"/>
      <c r="G356" s="3"/>
      <c r="H356" s="3"/>
      <c r="I356" s="3"/>
      <c r="K356" s="10"/>
      <c r="P356" s="32"/>
    </row>
    <row r="357">
      <c r="E357" s="3"/>
      <c r="F357" s="3"/>
      <c r="G357" s="3"/>
      <c r="H357" s="3"/>
      <c r="I357" s="3"/>
      <c r="K357" s="10"/>
      <c r="P357" s="32"/>
    </row>
    <row r="358">
      <c r="E358" s="3"/>
      <c r="F358" s="3"/>
      <c r="G358" s="3"/>
      <c r="H358" s="3"/>
      <c r="I358" s="3"/>
      <c r="K358" s="10"/>
      <c r="P358" s="32"/>
    </row>
    <row r="359">
      <c r="E359" s="3"/>
      <c r="F359" s="3"/>
      <c r="G359" s="3"/>
      <c r="H359" s="3"/>
      <c r="I359" s="3"/>
      <c r="K359" s="10"/>
      <c r="P359" s="32"/>
    </row>
    <row r="360">
      <c r="E360" s="3"/>
      <c r="F360" s="3"/>
      <c r="G360" s="3"/>
      <c r="H360" s="3"/>
      <c r="I360" s="3"/>
      <c r="K360" s="10"/>
      <c r="P360" s="32"/>
    </row>
    <row r="361">
      <c r="E361" s="3"/>
      <c r="F361" s="3"/>
      <c r="G361" s="3"/>
      <c r="H361" s="3"/>
      <c r="I361" s="3"/>
      <c r="K361" s="10"/>
      <c r="P361" s="32"/>
    </row>
    <row r="362">
      <c r="E362" s="3"/>
      <c r="F362" s="3"/>
      <c r="G362" s="3"/>
      <c r="H362" s="3"/>
      <c r="I362" s="3"/>
      <c r="K362" s="10"/>
      <c r="P362" s="32"/>
    </row>
    <row r="363">
      <c r="E363" s="3"/>
      <c r="F363" s="3"/>
      <c r="G363" s="3"/>
      <c r="H363" s="3"/>
      <c r="I363" s="3"/>
      <c r="K363" s="10"/>
      <c r="P363" s="32"/>
    </row>
    <row r="364">
      <c r="E364" s="3"/>
      <c r="F364" s="3"/>
      <c r="G364" s="3"/>
      <c r="H364" s="3"/>
      <c r="I364" s="3"/>
      <c r="K364" s="10"/>
      <c r="P364" s="32"/>
    </row>
    <row r="365">
      <c r="E365" s="3"/>
      <c r="F365" s="3"/>
      <c r="G365" s="3"/>
      <c r="H365" s="3"/>
      <c r="I365" s="3"/>
      <c r="K365" s="10"/>
      <c r="P365" s="32"/>
    </row>
    <row r="366">
      <c r="E366" s="3"/>
      <c r="F366" s="3"/>
      <c r="G366" s="3"/>
      <c r="H366" s="3"/>
      <c r="I366" s="3"/>
      <c r="K366" s="10"/>
      <c r="P366" s="32"/>
    </row>
    <row r="367">
      <c r="E367" s="3"/>
      <c r="F367" s="3"/>
      <c r="G367" s="3"/>
      <c r="H367" s="3"/>
      <c r="I367" s="3"/>
      <c r="K367" s="10"/>
      <c r="P367" s="32"/>
    </row>
    <row r="368">
      <c r="E368" s="3"/>
      <c r="F368" s="3"/>
      <c r="G368" s="3"/>
      <c r="H368" s="3"/>
      <c r="I368" s="3"/>
      <c r="K368" s="10"/>
      <c r="P368" s="32"/>
    </row>
    <row r="369">
      <c r="E369" s="3"/>
      <c r="F369" s="3"/>
      <c r="G369" s="3"/>
      <c r="H369" s="3"/>
      <c r="I369" s="3"/>
      <c r="K369" s="10"/>
      <c r="P369" s="32"/>
    </row>
    <row r="370">
      <c r="E370" s="3"/>
      <c r="F370" s="3"/>
      <c r="G370" s="3"/>
      <c r="H370" s="3"/>
      <c r="I370" s="3"/>
      <c r="K370" s="10"/>
      <c r="P370" s="32"/>
    </row>
    <row r="371">
      <c r="E371" s="3"/>
      <c r="F371" s="3"/>
      <c r="G371" s="3"/>
      <c r="H371" s="3"/>
      <c r="I371" s="3"/>
      <c r="K371" s="10"/>
      <c r="P371" s="32"/>
    </row>
    <row r="372">
      <c r="E372" s="3"/>
      <c r="F372" s="3"/>
      <c r="G372" s="3"/>
      <c r="H372" s="3"/>
      <c r="I372" s="3"/>
      <c r="K372" s="10"/>
      <c r="P372" s="32"/>
    </row>
    <row r="373">
      <c r="E373" s="3"/>
      <c r="F373" s="3"/>
      <c r="G373" s="3"/>
      <c r="H373" s="3"/>
      <c r="I373" s="3"/>
      <c r="K373" s="10"/>
      <c r="P373" s="32"/>
    </row>
    <row r="374">
      <c r="E374" s="3"/>
      <c r="F374" s="3"/>
      <c r="G374" s="3"/>
      <c r="H374" s="3"/>
      <c r="I374" s="3"/>
      <c r="K374" s="10"/>
      <c r="P374" s="32"/>
    </row>
    <row r="375">
      <c r="E375" s="3"/>
      <c r="F375" s="3"/>
      <c r="G375" s="3"/>
      <c r="H375" s="3"/>
      <c r="I375" s="3"/>
      <c r="K375" s="10"/>
      <c r="P375" s="32"/>
    </row>
    <row r="376">
      <c r="E376" s="3"/>
      <c r="F376" s="3"/>
      <c r="G376" s="3"/>
      <c r="H376" s="3"/>
      <c r="I376" s="3"/>
      <c r="K376" s="10"/>
      <c r="P376" s="32"/>
    </row>
    <row r="377">
      <c r="E377" s="3"/>
      <c r="F377" s="3"/>
      <c r="G377" s="3"/>
      <c r="H377" s="3"/>
      <c r="I377" s="3"/>
      <c r="K377" s="10"/>
      <c r="P377" s="32"/>
    </row>
    <row r="378">
      <c r="E378" s="3"/>
      <c r="F378" s="3"/>
      <c r="G378" s="3"/>
      <c r="H378" s="3"/>
      <c r="I378" s="3"/>
      <c r="K378" s="10"/>
      <c r="P378" s="32"/>
    </row>
    <row r="379">
      <c r="E379" s="3"/>
      <c r="F379" s="3"/>
      <c r="G379" s="3"/>
      <c r="H379" s="3"/>
      <c r="I379" s="3"/>
      <c r="K379" s="10"/>
      <c r="P379" s="32"/>
    </row>
    <row r="380">
      <c r="E380" s="3"/>
      <c r="F380" s="3"/>
      <c r="G380" s="3"/>
      <c r="H380" s="3"/>
      <c r="I380" s="3"/>
      <c r="K380" s="10"/>
      <c r="P380" s="32"/>
    </row>
    <row r="381">
      <c r="E381" s="3"/>
      <c r="F381" s="3"/>
      <c r="G381" s="3"/>
      <c r="H381" s="3"/>
      <c r="I381" s="3"/>
      <c r="K381" s="10"/>
      <c r="P381" s="32"/>
    </row>
    <row r="382">
      <c r="E382" s="3"/>
      <c r="F382" s="3"/>
      <c r="G382" s="3"/>
      <c r="H382" s="3"/>
      <c r="I382" s="3"/>
      <c r="K382" s="10"/>
      <c r="P382" s="32"/>
    </row>
    <row r="383">
      <c r="E383" s="3"/>
      <c r="F383" s="3"/>
      <c r="G383" s="3"/>
      <c r="H383" s="3"/>
      <c r="I383" s="3"/>
      <c r="K383" s="10"/>
      <c r="P383" s="32"/>
    </row>
    <row r="384">
      <c r="E384" s="3"/>
      <c r="F384" s="3"/>
      <c r="G384" s="3"/>
      <c r="H384" s="3"/>
      <c r="I384" s="3"/>
      <c r="K384" s="10"/>
      <c r="P384" s="32"/>
    </row>
    <row r="385">
      <c r="E385" s="3"/>
      <c r="F385" s="3"/>
      <c r="G385" s="3"/>
      <c r="H385" s="3"/>
      <c r="I385" s="3"/>
      <c r="K385" s="10"/>
      <c r="P385" s="32"/>
    </row>
    <row r="386">
      <c r="E386" s="3"/>
      <c r="F386" s="3"/>
      <c r="G386" s="3"/>
      <c r="H386" s="3"/>
      <c r="I386" s="3"/>
      <c r="K386" s="10"/>
      <c r="P386" s="32"/>
    </row>
    <row r="387">
      <c r="E387" s="3"/>
      <c r="F387" s="3"/>
      <c r="G387" s="3"/>
      <c r="H387" s="3"/>
      <c r="I387" s="3"/>
      <c r="K387" s="10"/>
      <c r="P387" s="32"/>
    </row>
    <row r="388">
      <c r="E388" s="3"/>
      <c r="F388" s="3"/>
      <c r="G388" s="3"/>
      <c r="H388" s="3"/>
      <c r="I388" s="3"/>
      <c r="K388" s="10"/>
      <c r="P388" s="32"/>
    </row>
    <row r="389">
      <c r="E389" s="3"/>
      <c r="F389" s="3"/>
      <c r="G389" s="3"/>
      <c r="H389" s="3"/>
      <c r="I389" s="3"/>
      <c r="K389" s="10"/>
      <c r="P389" s="32"/>
    </row>
    <row r="390">
      <c r="E390" s="3"/>
      <c r="F390" s="3"/>
      <c r="G390" s="3"/>
      <c r="H390" s="3"/>
      <c r="I390" s="3"/>
      <c r="K390" s="10"/>
      <c r="P390" s="32"/>
    </row>
    <row r="391">
      <c r="E391" s="3"/>
      <c r="F391" s="3"/>
      <c r="G391" s="3"/>
      <c r="H391" s="3"/>
      <c r="I391" s="3"/>
      <c r="K391" s="10"/>
      <c r="P391" s="32"/>
    </row>
    <row r="392">
      <c r="E392" s="3"/>
      <c r="F392" s="3"/>
      <c r="G392" s="3"/>
      <c r="H392" s="3"/>
      <c r="I392" s="3"/>
      <c r="K392" s="10"/>
      <c r="P392" s="32"/>
    </row>
    <row r="393">
      <c r="E393" s="3"/>
      <c r="F393" s="3"/>
      <c r="G393" s="3"/>
      <c r="H393" s="3"/>
      <c r="I393" s="3"/>
      <c r="K393" s="10"/>
      <c r="P393" s="32"/>
    </row>
    <row r="394">
      <c r="E394" s="3"/>
      <c r="F394" s="3"/>
      <c r="G394" s="3"/>
      <c r="H394" s="3"/>
      <c r="I394" s="3"/>
      <c r="K394" s="10"/>
      <c r="P394" s="32"/>
    </row>
    <row r="395">
      <c r="E395" s="3"/>
      <c r="F395" s="3"/>
      <c r="G395" s="3"/>
      <c r="H395" s="3"/>
      <c r="I395" s="3"/>
      <c r="K395" s="10"/>
      <c r="P395" s="32"/>
    </row>
    <row r="396">
      <c r="E396" s="3"/>
      <c r="F396" s="3"/>
      <c r="G396" s="3"/>
      <c r="H396" s="3"/>
      <c r="I396" s="3"/>
      <c r="K396" s="10"/>
      <c r="P396" s="32"/>
    </row>
    <row r="397">
      <c r="E397" s="3"/>
      <c r="F397" s="3"/>
      <c r="G397" s="3"/>
      <c r="H397" s="3"/>
      <c r="I397" s="3"/>
      <c r="K397" s="10"/>
      <c r="P397" s="32"/>
    </row>
    <row r="398">
      <c r="E398" s="3"/>
      <c r="F398" s="3"/>
      <c r="G398" s="3"/>
      <c r="H398" s="3"/>
      <c r="I398" s="3"/>
      <c r="K398" s="10"/>
      <c r="P398" s="32"/>
    </row>
    <row r="399">
      <c r="E399" s="3"/>
      <c r="F399" s="3"/>
      <c r="G399" s="3"/>
      <c r="H399" s="3"/>
      <c r="I399" s="3"/>
      <c r="K399" s="10"/>
      <c r="P399" s="32"/>
    </row>
    <row r="400">
      <c r="E400" s="3"/>
      <c r="F400" s="3"/>
      <c r="G400" s="3"/>
      <c r="H400" s="3"/>
      <c r="I400" s="3"/>
      <c r="K400" s="10"/>
      <c r="P400" s="32"/>
    </row>
    <row r="401">
      <c r="E401" s="3"/>
      <c r="F401" s="3"/>
      <c r="G401" s="3"/>
      <c r="H401" s="3"/>
      <c r="I401" s="3"/>
      <c r="K401" s="10"/>
      <c r="P401" s="32"/>
    </row>
    <row r="402">
      <c r="E402" s="3"/>
      <c r="F402" s="3"/>
      <c r="G402" s="3"/>
      <c r="H402" s="3"/>
      <c r="I402" s="3"/>
      <c r="K402" s="10"/>
      <c r="P402" s="32"/>
    </row>
    <row r="403">
      <c r="E403" s="3"/>
      <c r="F403" s="3"/>
      <c r="G403" s="3"/>
      <c r="H403" s="3"/>
      <c r="I403" s="3"/>
      <c r="K403" s="10"/>
      <c r="P403" s="32"/>
    </row>
    <row r="404">
      <c r="E404" s="3"/>
      <c r="F404" s="3"/>
      <c r="G404" s="3"/>
      <c r="H404" s="3"/>
      <c r="I404" s="3"/>
      <c r="K404" s="10"/>
      <c r="P404" s="32"/>
    </row>
    <row r="405">
      <c r="E405" s="3"/>
      <c r="F405" s="3"/>
      <c r="G405" s="3"/>
      <c r="H405" s="3"/>
      <c r="I405" s="3"/>
      <c r="K405" s="10"/>
      <c r="P405" s="32"/>
    </row>
    <row r="406">
      <c r="E406" s="3"/>
      <c r="F406" s="3"/>
      <c r="G406" s="3"/>
      <c r="H406" s="3"/>
      <c r="I406" s="3"/>
      <c r="K406" s="10"/>
      <c r="P406" s="32"/>
    </row>
    <row r="407">
      <c r="E407" s="3"/>
      <c r="F407" s="3"/>
      <c r="G407" s="3"/>
      <c r="H407" s="3"/>
      <c r="I407" s="3"/>
      <c r="K407" s="10"/>
      <c r="P407" s="32"/>
    </row>
    <row r="408">
      <c r="E408" s="3"/>
      <c r="F408" s="3"/>
      <c r="G408" s="3"/>
      <c r="H408" s="3"/>
      <c r="I408" s="3"/>
      <c r="K408" s="10"/>
      <c r="P408" s="32"/>
    </row>
    <row r="409">
      <c r="E409" s="3"/>
      <c r="F409" s="3"/>
      <c r="G409" s="3"/>
      <c r="H409" s="3"/>
      <c r="I409" s="3"/>
      <c r="K409" s="10"/>
      <c r="P409" s="32"/>
    </row>
    <row r="410">
      <c r="E410" s="3"/>
      <c r="F410" s="3"/>
      <c r="G410" s="3"/>
      <c r="H410" s="3"/>
      <c r="I410" s="3"/>
      <c r="K410" s="10"/>
      <c r="P410" s="32"/>
    </row>
    <row r="411">
      <c r="E411" s="3"/>
      <c r="F411" s="3"/>
      <c r="G411" s="3"/>
      <c r="H411" s="3"/>
      <c r="I411" s="3"/>
      <c r="K411" s="10"/>
      <c r="P411" s="32"/>
    </row>
    <row r="412">
      <c r="E412" s="3"/>
      <c r="F412" s="3"/>
      <c r="G412" s="3"/>
      <c r="H412" s="3"/>
      <c r="I412" s="3"/>
      <c r="K412" s="10"/>
      <c r="P412" s="32"/>
    </row>
    <row r="413">
      <c r="E413" s="3"/>
      <c r="F413" s="3"/>
      <c r="G413" s="3"/>
      <c r="H413" s="3"/>
      <c r="I413" s="3"/>
      <c r="K413" s="10"/>
      <c r="P413" s="32"/>
    </row>
    <row r="414">
      <c r="E414" s="3"/>
      <c r="F414" s="3"/>
      <c r="G414" s="3"/>
      <c r="H414" s="3"/>
      <c r="I414" s="3"/>
      <c r="K414" s="10"/>
      <c r="P414" s="32"/>
    </row>
    <row r="415">
      <c r="E415" s="3"/>
      <c r="F415" s="3"/>
      <c r="G415" s="3"/>
      <c r="H415" s="3"/>
      <c r="I415" s="3"/>
      <c r="K415" s="10"/>
      <c r="P415" s="32"/>
    </row>
    <row r="416">
      <c r="E416" s="3"/>
      <c r="F416" s="3"/>
      <c r="G416" s="3"/>
      <c r="H416" s="3"/>
      <c r="I416" s="3"/>
      <c r="K416" s="10"/>
      <c r="P416" s="32"/>
    </row>
    <row r="417">
      <c r="E417" s="3"/>
      <c r="F417" s="3"/>
      <c r="G417" s="3"/>
      <c r="H417" s="3"/>
      <c r="I417" s="3"/>
      <c r="K417" s="10"/>
      <c r="P417" s="32"/>
    </row>
    <row r="418">
      <c r="E418" s="3"/>
      <c r="F418" s="3"/>
      <c r="G418" s="3"/>
      <c r="H418" s="3"/>
      <c r="I418" s="3"/>
      <c r="K418" s="10"/>
      <c r="P418" s="32"/>
    </row>
    <row r="419">
      <c r="E419" s="3"/>
      <c r="F419" s="3"/>
      <c r="G419" s="3"/>
      <c r="H419" s="3"/>
      <c r="I419" s="3"/>
      <c r="K419" s="10"/>
      <c r="P419" s="32"/>
    </row>
    <row r="420">
      <c r="E420" s="3"/>
      <c r="F420" s="3"/>
      <c r="G420" s="3"/>
      <c r="H420" s="3"/>
      <c r="I420" s="3"/>
      <c r="K420" s="10"/>
      <c r="P420" s="32"/>
    </row>
    <row r="421">
      <c r="E421" s="3"/>
      <c r="F421" s="3"/>
      <c r="G421" s="3"/>
      <c r="H421" s="3"/>
      <c r="I421" s="3"/>
      <c r="K421" s="10"/>
      <c r="P421" s="32"/>
    </row>
    <row r="422">
      <c r="E422" s="3"/>
      <c r="F422" s="3"/>
      <c r="G422" s="3"/>
      <c r="H422" s="3"/>
      <c r="I422" s="3"/>
      <c r="K422" s="10"/>
      <c r="P422" s="32"/>
    </row>
    <row r="423">
      <c r="E423" s="3"/>
      <c r="F423" s="3"/>
      <c r="G423" s="3"/>
      <c r="H423" s="3"/>
      <c r="I423" s="3"/>
      <c r="K423" s="10"/>
      <c r="P423" s="32"/>
    </row>
    <row r="424">
      <c r="E424" s="3"/>
      <c r="F424" s="3"/>
      <c r="G424" s="3"/>
      <c r="H424" s="3"/>
      <c r="I424" s="3"/>
      <c r="K424" s="10"/>
      <c r="P424" s="32"/>
    </row>
    <row r="425">
      <c r="E425" s="3"/>
      <c r="F425" s="3"/>
      <c r="G425" s="3"/>
      <c r="H425" s="3"/>
      <c r="I425" s="3"/>
      <c r="K425" s="10"/>
      <c r="P425" s="32"/>
    </row>
    <row r="426">
      <c r="E426" s="3"/>
      <c r="F426" s="3"/>
      <c r="G426" s="3"/>
      <c r="H426" s="3"/>
      <c r="I426" s="3"/>
      <c r="K426" s="10"/>
      <c r="P426" s="32"/>
    </row>
    <row r="427">
      <c r="E427" s="3"/>
      <c r="F427" s="3"/>
      <c r="G427" s="3"/>
      <c r="H427" s="3"/>
      <c r="I427" s="3"/>
      <c r="K427" s="10"/>
      <c r="P427" s="32"/>
    </row>
    <row r="428">
      <c r="E428" s="3"/>
      <c r="F428" s="3"/>
      <c r="G428" s="3"/>
      <c r="H428" s="3"/>
      <c r="I428" s="3"/>
      <c r="K428" s="10"/>
      <c r="P428" s="32"/>
    </row>
    <row r="429">
      <c r="E429" s="3"/>
      <c r="F429" s="3"/>
      <c r="G429" s="3"/>
      <c r="H429" s="3"/>
      <c r="I429" s="3"/>
      <c r="K429" s="10"/>
      <c r="P429" s="32"/>
    </row>
    <row r="430">
      <c r="E430" s="3"/>
      <c r="F430" s="3"/>
      <c r="G430" s="3"/>
      <c r="H430" s="3"/>
      <c r="I430" s="3"/>
      <c r="K430" s="10"/>
      <c r="P430" s="32"/>
    </row>
    <row r="431">
      <c r="E431" s="3"/>
      <c r="F431" s="3"/>
      <c r="G431" s="3"/>
      <c r="H431" s="3"/>
      <c r="I431" s="3"/>
      <c r="K431" s="10"/>
      <c r="P431" s="32"/>
    </row>
    <row r="432">
      <c r="E432" s="3"/>
      <c r="F432" s="3"/>
      <c r="G432" s="3"/>
      <c r="H432" s="3"/>
      <c r="I432" s="3"/>
      <c r="K432" s="10"/>
      <c r="P432" s="32"/>
    </row>
    <row r="433">
      <c r="E433" s="3"/>
      <c r="F433" s="3"/>
      <c r="G433" s="3"/>
      <c r="H433" s="3"/>
      <c r="I433" s="3"/>
      <c r="K433" s="10"/>
      <c r="P433" s="32"/>
    </row>
    <row r="434">
      <c r="E434" s="3"/>
      <c r="F434" s="3"/>
      <c r="G434" s="3"/>
      <c r="H434" s="3"/>
      <c r="I434" s="3"/>
      <c r="K434" s="10"/>
      <c r="P434" s="32"/>
    </row>
    <row r="435">
      <c r="E435" s="3"/>
      <c r="F435" s="3"/>
      <c r="G435" s="3"/>
      <c r="H435" s="3"/>
      <c r="I435" s="3"/>
      <c r="K435" s="10"/>
      <c r="P435" s="32"/>
    </row>
    <row r="436">
      <c r="E436" s="3"/>
      <c r="F436" s="3"/>
      <c r="G436" s="3"/>
      <c r="H436" s="3"/>
      <c r="I436" s="3"/>
      <c r="K436" s="10"/>
      <c r="P436" s="32"/>
    </row>
    <row r="437">
      <c r="E437" s="3"/>
      <c r="F437" s="3"/>
      <c r="G437" s="3"/>
      <c r="H437" s="3"/>
      <c r="I437" s="3"/>
      <c r="K437" s="10"/>
      <c r="P437" s="32"/>
    </row>
    <row r="438">
      <c r="E438" s="3"/>
      <c r="F438" s="3"/>
      <c r="G438" s="3"/>
      <c r="H438" s="3"/>
      <c r="I438" s="3"/>
      <c r="K438" s="10"/>
      <c r="P438" s="32"/>
    </row>
    <row r="439">
      <c r="E439" s="3"/>
      <c r="F439" s="3"/>
      <c r="G439" s="3"/>
      <c r="H439" s="3"/>
      <c r="I439" s="3"/>
      <c r="K439" s="10"/>
      <c r="P439" s="32"/>
    </row>
    <row r="440">
      <c r="E440" s="3"/>
      <c r="F440" s="3"/>
      <c r="G440" s="3"/>
      <c r="H440" s="3"/>
      <c r="I440" s="3"/>
      <c r="K440" s="10"/>
      <c r="P440" s="32"/>
    </row>
    <row r="441">
      <c r="E441" s="3"/>
      <c r="F441" s="3"/>
      <c r="G441" s="3"/>
      <c r="H441" s="3"/>
      <c r="I441" s="3"/>
      <c r="K441" s="10"/>
      <c r="P441" s="32"/>
    </row>
    <row r="442">
      <c r="E442" s="3"/>
      <c r="F442" s="3"/>
      <c r="G442" s="3"/>
      <c r="H442" s="3"/>
      <c r="I442" s="3"/>
      <c r="K442" s="10"/>
      <c r="P442" s="32"/>
    </row>
    <row r="443">
      <c r="E443" s="3"/>
      <c r="F443" s="3"/>
      <c r="G443" s="3"/>
      <c r="H443" s="3"/>
      <c r="I443" s="3"/>
      <c r="K443" s="10"/>
      <c r="P443" s="32"/>
    </row>
    <row r="444">
      <c r="E444" s="3"/>
      <c r="F444" s="3"/>
      <c r="G444" s="3"/>
      <c r="H444" s="3"/>
      <c r="I444" s="3"/>
      <c r="K444" s="10"/>
      <c r="P444" s="32"/>
    </row>
    <row r="445">
      <c r="E445" s="3"/>
      <c r="F445" s="3"/>
      <c r="G445" s="3"/>
      <c r="H445" s="3"/>
      <c r="I445" s="3"/>
      <c r="K445" s="10"/>
      <c r="P445" s="32"/>
    </row>
    <row r="446">
      <c r="E446" s="3"/>
      <c r="F446" s="3"/>
      <c r="G446" s="3"/>
      <c r="H446" s="3"/>
      <c r="I446" s="3"/>
      <c r="K446" s="10"/>
      <c r="P446" s="32"/>
    </row>
    <row r="447">
      <c r="E447" s="3"/>
      <c r="F447" s="3"/>
      <c r="G447" s="3"/>
      <c r="H447" s="3"/>
      <c r="I447" s="3"/>
      <c r="K447" s="10"/>
      <c r="P447" s="32"/>
    </row>
    <row r="448">
      <c r="E448" s="3"/>
      <c r="F448" s="3"/>
      <c r="G448" s="3"/>
      <c r="H448" s="3"/>
      <c r="I448" s="3"/>
      <c r="K448" s="10"/>
      <c r="P448" s="32"/>
    </row>
    <row r="449">
      <c r="E449" s="3"/>
      <c r="F449" s="3"/>
      <c r="G449" s="3"/>
      <c r="H449" s="3"/>
      <c r="I449" s="3"/>
      <c r="K449" s="10"/>
      <c r="P449" s="32"/>
    </row>
    <row r="450">
      <c r="E450" s="3"/>
      <c r="F450" s="3"/>
      <c r="G450" s="3"/>
      <c r="H450" s="3"/>
      <c r="I450" s="3"/>
      <c r="K450" s="10"/>
      <c r="P450" s="32"/>
    </row>
    <row r="451">
      <c r="E451" s="3"/>
      <c r="F451" s="3"/>
      <c r="G451" s="3"/>
      <c r="H451" s="3"/>
      <c r="I451" s="3"/>
      <c r="K451" s="10"/>
      <c r="P451" s="32"/>
    </row>
    <row r="452">
      <c r="E452" s="3"/>
      <c r="F452" s="3"/>
      <c r="G452" s="3"/>
      <c r="H452" s="3"/>
      <c r="I452" s="3"/>
      <c r="K452" s="10"/>
      <c r="P452" s="32"/>
    </row>
    <row r="453">
      <c r="E453" s="3"/>
      <c r="F453" s="3"/>
      <c r="G453" s="3"/>
      <c r="H453" s="3"/>
      <c r="I453" s="3"/>
      <c r="K453" s="10"/>
      <c r="P453" s="32"/>
    </row>
    <row r="454">
      <c r="E454" s="3"/>
      <c r="F454" s="3"/>
      <c r="G454" s="3"/>
      <c r="H454" s="3"/>
      <c r="I454" s="3"/>
      <c r="K454" s="10"/>
      <c r="P454" s="32"/>
    </row>
    <row r="455">
      <c r="E455" s="3"/>
      <c r="F455" s="3"/>
      <c r="G455" s="3"/>
      <c r="H455" s="3"/>
      <c r="I455" s="3"/>
      <c r="K455" s="10"/>
      <c r="P455" s="32"/>
    </row>
    <row r="456">
      <c r="E456" s="3"/>
      <c r="F456" s="3"/>
      <c r="G456" s="3"/>
      <c r="H456" s="3"/>
      <c r="I456" s="3"/>
      <c r="K456" s="10"/>
      <c r="P456" s="32"/>
    </row>
    <row r="457">
      <c r="E457" s="3"/>
      <c r="F457" s="3"/>
      <c r="G457" s="3"/>
      <c r="H457" s="3"/>
      <c r="I457" s="3"/>
      <c r="K457" s="10"/>
      <c r="P457" s="32"/>
    </row>
    <row r="458">
      <c r="E458" s="3"/>
      <c r="F458" s="3"/>
      <c r="G458" s="3"/>
      <c r="H458" s="3"/>
      <c r="I458" s="3"/>
      <c r="K458" s="10"/>
      <c r="P458" s="32"/>
    </row>
    <row r="459">
      <c r="E459" s="3"/>
      <c r="F459" s="3"/>
      <c r="G459" s="3"/>
      <c r="H459" s="3"/>
      <c r="I459" s="3"/>
      <c r="K459" s="10"/>
      <c r="P459" s="32"/>
    </row>
    <row r="460">
      <c r="E460" s="3"/>
      <c r="F460" s="3"/>
      <c r="G460" s="3"/>
      <c r="H460" s="3"/>
      <c r="I460" s="3"/>
      <c r="K460" s="10"/>
      <c r="P460" s="32"/>
    </row>
    <row r="461">
      <c r="E461" s="3"/>
      <c r="F461" s="3"/>
      <c r="G461" s="3"/>
      <c r="H461" s="3"/>
      <c r="I461" s="3"/>
      <c r="K461" s="10"/>
      <c r="P461" s="32"/>
    </row>
    <row r="462">
      <c r="E462" s="3"/>
      <c r="F462" s="3"/>
      <c r="G462" s="3"/>
      <c r="H462" s="3"/>
      <c r="I462" s="3"/>
      <c r="K462" s="10"/>
      <c r="P462" s="32"/>
    </row>
    <row r="463">
      <c r="E463" s="3"/>
      <c r="F463" s="3"/>
      <c r="G463" s="3"/>
      <c r="H463" s="3"/>
      <c r="I463" s="3"/>
      <c r="K463" s="10"/>
      <c r="P463" s="32"/>
    </row>
    <row r="464">
      <c r="E464" s="3"/>
      <c r="F464" s="3"/>
      <c r="G464" s="3"/>
      <c r="H464" s="3"/>
      <c r="I464" s="3"/>
      <c r="K464" s="10"/>
      <c r="P464" s="32"/>
    </row>
    <row r="465">
      <c r="E465" s="3"/>
      <c r="F465" s="3"/>
      <c r="G465" s="3"/>
      <c r="H465" s="3"/>
      <c r="I465" s="3"/>
      <c r="K465" s="10"/>
      <c r="P465" s="32"/>
    </row>
    <row r="466">
      <c r="E466" s="3"/>
      <c r="F466" s="3"/>
      <c r="G466" s="3"/>
      <c r="H466" s="3"/>
      <c r="I466" s="3"/>
      <c r="K466" s="10"/>
      <c r="P466" s="32"/>
    </row>
    <row r="467">
      <c r="E467" s="3"/>
      <c r="F467" s="3"/>
      <c r="G467" s="3"/>
      <c r="H467" s="3"/>
      <c r="I467" s="3"/>
      <c r="K467" s="10"/>
      <c r="P467" s="32"/>
    </row>
    <row r="468">
      <c r="E468" s="3"/>
      <c r="F468" s="3"/>
      <c r="G468" s="3"/>
      <c r="H468" s="3"/>
      <c r="I468" s="3"/>
      <c r="K468" s="10"/>
      <c r="P468" s="32"/>
    </row>
    <row r="469">
      <c r="E469" s="3"/>
      <c r="F469" s="3"/>
      <c r="G469" s="3"/>
      <c r="H469" s="3"/>
      <c r="I469" s="3"/>
      <c r="K469" s="10"/>
      <c r="P469" s="32"/>
    </row>
    <row r="470">
      <c r="E470" s="3"/>
      <c r="F470" s="3"/>
      <c r="G470" s="3"/>
      <c r="H470" s="3"/>
      <c r="I470" s="3"/>
      <c r="K470" s="10"/>
      <c r="P470" s="32"/>
    </row>
    <row r="471">
      <c r="E471" s="3"/>
      <c r="F471" s="3"/>
      <c r="G471" s="3"/>
      <c r="H471" s="3"/>
      <c r="I471" s="3"/>
      <c r="K471" s="10"/>
      <c r="P471" s="32"/>
    </row>
    <row r="472">
      <c r="E472" s="3"/>
      <c r="F472" s="3"/>
      <c r="G472" s="3"/>
      <c r="H472" s="3"/>
      <c r="I472" s="3"/>
      <c r="K472" s="10"/>
      <c r="P472" s="32"/>
    </row>
    <row r="473">
      <c r="E473" s="3"/>
      <c r="F473" s="3"/>
      <c r="G473" s="3"/>
      <c r="H473" s="3"/>
      <c r="I473" s="3"/>
      <c r="K473" s="10"/>
      <c r="P473" s="32"/>
    </row>
    <row r="474">
      <c r="E474" s="3"/>
      <c r="F474" s="3"/>
      <c r="G474" s="3"/>
      <c r="H474" s="3"/>
      <c r="I474" s="3"/>
      <c r="K474" s="10"/>
      <c r="P474" s="32"/>
    </row>
    <row r="475">
      <c r="E475" s="3"/>
      <c r="F475" s="3"/>
      <c r="G475" s="3"/>
      <c r="H475" s="3"/>
      <c r="I475" s="3"/>
      <c r="K475" s="10"/>
      <c r="P475" s="32"/>
    </row>
    <row r="476">
      <c r="E476" s="3"/>
      <c r="F476" s="3"/>
      <c r="G476" s="3"/>
      <c r="H476" s="3"/>
      <c r="I476" s="3"/>
      <c r="K476" s="10"/>
      <c r="P476" s="32"/>
    </row>
    <row r="477">
      <c r="E477" s="3"/>
      <c r="F477" s="3"/>
      <c r="G477" s="3"/>
      <c r="H477" s="3"/>
      <c r="I477" s="3"/>
      <c r="K477" s="10"/>
      <c r="P477" s="32"/>
    </row>
    <row r="478">
      <c r="E478" s="3"/>
      <c r="F478" s="3"/>
      <c r="G478" s="3"/>
      <c r="H478" s="3"/>
      <c r="I478" s="3"/>
      <c r="K478" s="10"/>
      <c r="P478" s="32"/>
    </row>
    <row r="479">
      <c r="E479" s="3"/>
      <c r="F479" s="3"/>
      <c r="G479" s="3"/>
      <c r="H479" s="3"/>
      <c r="I479" s="3"/>
      <c r="K479" s="10"/>
      <c r="P479" s="32"/>
    </row>
    <row r="480">
      <c r="E480" s="3"/>
      <c r="F480" s="3"/>
      <c r="G480" s="3"/>
      <c r="H480" s="3"/>
      <c r="I480" s="3"/>
      <c r="K480" s="10"/>
      <c r="P480" s="32"/>
    </row>
    <row r="481">
      <c r="E481" s="3"/>
      <c r="F481" s="3"/>
      <c r="G481" s="3"/>
      <c r="H481" s="3"/>
      <c r="I481" s="3"/>
      <c r="K481" s="10"/>
      <c r="P481" s="32"/>
    </row>
    <row r="482">
      <c r="E482" s="3"/>
      <c r="F482" s="3"/>
      <c r="G482" s="3"/>
      <c r="H482" s="3"/>
      <c r="I482" s="3"/>
      <c r="K482" s="10"/>
      <c r="P482" s="32"/>
    </row>
    <row r="483">
      <c r="E483" s="3"/>
      <c r="F483" s="3"/>
      <c r="G483" s="3"/>
      <c r="H483" s="3"/>
      <c r="I483" s="3"/>
      <c r="K483" s="10"/>
      <c r="P483" s="32"/>
    </row>
    <row r="484">
      <c r="E484" s="3"/>
      <c r="F484" s="3"/>
      <c r="G484" s="3"/>
      <c r="H484" s="3"/>
      <c r="I484" s="3"/>
      <c r="K484" s="10"/>
      <c r="P484" s="32"/>
    </row>
    <row r="485">
      <c r="E485" s="3"/>
      <c r="F485" s="3"/>
      <c r="G485" s="3"/>
      <c r="H485" s="3"/>
      <c r="I485" s="3"/>
      <c r="K485" s="10"/>
      <c r="P485" s="32"/>
    </row>
    <row r="486">
      <c r="E486" s="3"/>
      <c r="F486" s="3"/>
      <c r="G486" s="3"/>
      <c r="H486" s="3"/>
      <c r="I486" s="3"/>
      <c r="K486" s="10"/>
      <c r="P486" s="32"/>
    </row>
    <row r="487">
      <c r="E487" s="3"/>
      <c r="F487" s="3"/>
      <c r="G487" s="3"/>
      <c r="H487" s="3"/>
      <c r="I487" s="3"/>
      <c r="K487" s="10"/>
      <c r="P487" s="32"/>
    </row>
    <row r="488">
      <c r="E488" s="3"/>
      <c r="F488" s="3"/>
      <c r="G488" s="3"/>
      <c r="H488" s="3"/>
      <c r="I488" s="3"/>
      <c r="K488" s="10"/>
      <c r="P488" s="32"/>
    </row>
    <row r="489">
      <c r="E489" s="3"/>
      <c r="F489" s="3"/>
      <c r="G489" s="3"/>
      <c r="H489" s="3"/>
      <c r="I489" s="3"/>
      <c r="K489" s="10"/>
      <c r="P489" s="32"/>
    </row>
    <row r="490">
      <c r="E490" s="3"/>
      <c r="F490" s="3"/>
      <c r="G490" s="3"/>
      <c r="H490" s="3"/>
      <c r="I490" s="3"/>
      <c r="K490" s="10"/>
      <c r="P490" s="32"/>
    </row>
    <row r="491">
      <c r="E491" s="3"/>
      <c r="F491" s="3"/>
      <c r="G491" s="3"/>
      <c r="H491" s="3"/>
      <c r="I491" s="3"/>
      <c r="K491" s="10"/>
      <c r="P491" s="32"/>
    </row>
    <row r="492">
      <c r="E492" s="3"/>
      <c r="F492" s="3"/>
      <c r="G492" s="3"/>
      <c r="H492" s="3"/>
      <c r="I492" s="3"/>
      <c r="K492" s="10"/>
      <c r="P492" s="32"/>
    </row>
    <row r="493">
      <c r="E493" s="3"/>
      <c r="F493" s="3"/>
      <c r="G493" s="3"/>
      <c r="H493" s="3"/>
      <c r="I493" s="3"/>
      <c r="K493" s="10"/>
      <c r="P493" s="32"/>
    </row>
    <row r="494">
      <c r="E494" s="3"/>
      <c r="F494" s="3"/>
      <c r="G494" s="3"/>
      <c r="H494" s="3"/>
      <c r="I494" s="3"/>
      <c r="K494" s="10"/>
      <c r="P494" s="32"/>
    </row>
    <row r="495">
      <c r="E495" s="3"/>
      <c r="F495" s="3"/>
      <c r="G495" s="3"/>
      <c r="H495" s="3"/>
      <c r="I495" s="3"/>
      <c r="K495" s="10"/>
      <c r="P495" s="32"/>
    </row>
    <row r="496">
      <c r="E496" s="3"/>
      <c r="F496" s="3"/>
      <c r="G496" s="3"/>
      <c r="H496" s="3"/>
      <c r="I496" s="3"/>
      <c r="K496" s="10"/>
      <c r="P496" s="32"/>
    </row>
    <row r="497">
      <c r="E497" s="3"/>
      <c r="F497" s="3"/>
      <c r="G497" s="3"/>
      <c r="H497" s="3"/>
      <c r="I497" s="3"/>
      <c r="K497" s="10"/>
      <c r="P497" s="32"/>
    </row>
    <row r="498">
      <c r="E498" s="3"/>
      <c r="F498" s="3"/>
      <c r="G498" s="3"/>
      <c r="H498" s="3"/>
      <c r="I498" s="3"/>
      <c r="K498" s="10"/>
      <c r="P498" s="32"/>
    </row>
    <row r="499">
      <c r="E499" s="3"/>
      <c r="F499" s="3"/>
      <c r="G499" s="3"/>
      <c r="H499" s="3"/>
      <c r="I499" s="3"/>
      <c r="K499" s="10"/>
      <c r="P499" s="32"/>
    </row>
    <row r="500">
      <c r="E500" s="3"/>
      <c r="F500" s="3"/>
      <c r="G500" s="3"/>
      <c r="H500" s="3"/>
      <c r="I500" s="3"/>
      <c r="K500" s="10"/>
      <c r="P500" s="32"/>
    </row>
    <row r="501">
      <c r="E501" s="3"/>
      <c r="F501" s="3"/>
      <c r="G501" s="3"/>
      <c r="H501" s="3"/>
      <c r="I501" s="3"/>
      <c r="K501" s="10"/>
      <c r="P501" s="32"/>
    </row>
    <row r="502">
      <c r="E502" s="3"/>
      <c r="F502" s="3"/>
      <c r="G502" s="3"/>
      <c r="H502" s="3"/>
      <c r="I502" s="3"/>
      <c r="K502" s="10"/>
      <c r="P502" s="32"/>
    </row>
    <row r="503">
      <c r="E503" s="3"/>
      <c r="F503" s="3"/>
      <c r="G503" s="3"/>
      <c r="H503" s="3"/>
      <c r="I503" s="3"/>
      <c r="K503" s="10"/>
      <c r="P503" s="32"/>
    </row>
    <row r="504">
      <c r="E504" s="3"/>
      <c r="F504" s="3"/>
      <c r="G504" s="3"/>
      <c r="H504" s="3"/>
      <c r="I504" s="3"/>
      <c r="K504" s="10"/>
      <c r="P504" s="32"/>
    </row>
    <row r="505">
      <c r="E505" s="3"/>
      <c r="F505" s="3"/>
      <c r="G505" s="3"/>
      <c r="H505" s="3"/>
      <c r="I505" s="3"/>
      <c r="K505" s="10"/>
      <c r="P505" s="32"/>
    </row>
    <row r="506">
      <c r="E506" s="3"/>
      <c r="F506" s="3"/>
      <c r="G506" s="3"/>
      <c r="H506" s="3"/>
      <c r="I506" s="3"/>
      <c r="K506" s="10"/>
      <c r="P506" s="32"/>
    </row>
    <row r="507">
      <c r="E507" s="3"/>
      <c r="F507" s="3"/>
      <c r="G507" s="3"/>
      <c r="H507" s="3"/>
      <c r="I507" s="3"/>
      <c r="K507" s="10"/>
      <c r="P507" s="32"/>
    </row>
    <row r="508">
      <c r="E508" s="3"/>
      <c r="F508" s="3"/>
      <c r="G508" s="3"/>
      <c r="H508" s="3"/>
      <c r="I508" s="3"/>
      <c r="K508" s="10"/>
      <c r="P508" s="32"/>
    </row>
    <row r="509">
      <c r="E509" s="3"/>
      <c r="F509" s="3"/>
      <c r="G509" s="3"/>
      <c r="H509" s="3"/>
      <c r="I509" s="3"/>
      <c r="K509" s="10"/>
      <c r="P509" s="32"/>
    </row>
    <row r="510">
      <c r="E510" s="3"/>
      <c r="F510" s="3"/>
      <c r="G510" s="3"/>
      <c r="H510" s="3"/>
      <c r="I510" s="3"/>
      <c r="K510" s="10"/>
      <c r="P510" s="32"/>
    </row>
    <row r="511">
      <c r="E511" s="3"/>
      <c r="F511" s="3"/>
      <c r="G511" s="3"/>
      <c r="H511" s="3"/>
      <c r="I511" s="3"/>
      <c r="K511" s="10"/>
      <c r="P511" s="32"/>
    </row>
    <row r="512">
      <c r="E512" s="3"/>
      <c r="F512" s="3"/>
      <c r="G512" s="3"/>
      <c r="H512" s="3"/>
      <c r="I512" s="3"/>
      <c r="K512" s="10"/>
      <c r="P512" s="32"/>
    </row>
    <row r="513">
      <c r="E513" s="3"/>
      <c r="F513" s="3"/>
      <c r="G513" s="3"/>
      <c r="H513" s="3"/>
      <c r="I513" s="3"/>
      <c r="K513" s="10"/>
      <c r="P513" s="32"/>
    </row>
    <row r="514">
      <c r="E514" s="3"/>
      <c r="F514" s="3"/>
      <c r="G514" s="3"/>
      <c r="H514" s="3"/>
      <c r="I514" s="3"/>
      <c r="K514" s="10"/>
      <c r="P514" s="32"/>
    </row>
    <row r="515">
      <c r="E515" s="3"/>
      <c r="F515" s="3"/>
      <c r="G515" s="3"/>
      <c r="H515" s="3"/>
      <c r="I515" s="3"/>
      <c r="K515" s="10"/>
      <c r="P515" s="32"/>
    </row>
    <row r="516">
      <c r="E516" s="3"/>
      <c r="F516" s="3"/>
      <c r="G516" s="3"/>
      <c r="H516" s="3"/>
      <c r="I516" s="3"/>
      <c r="K516" s="10"/>
      <c r="P516" s="32"/>
    </row>
    <row r="517">
      <c r="E517" s="3"/>
      <c r="F517" s="3"/>
      <c r="G517" s="3"/>
      <c r="H517" s="3"/>
      <c r="I517" s="3"/>
      <c r="K517" s="10"/>
      <c r="P517" s="32"/>
    </row>
    <row r="518">
      <c r="E518" s="3"/>
      <c r="F518" s="3"/>
      <c r="G518" s="3"/>
      <c r="H518" s="3"/>
      <c r="I518" s="3"/>
      <c r="K518" s="10"/>
      <c r="P518" s="32"/>
    </row>
    <row r="519">
      <c r="E519" s="3"/>
      <c r="F519" s="3"/>
      <c r="G519" s="3"/>
      <c r="H519" s="3"/>
      <c r="I519" s="3"/>
      <c r="K519" s="10"/>
      <c r="P519" s="32"/>
    </row>
    <row r="520">
      <c r="E520" s="3"/>
      <c r="F520" s="3"/>
      <c r="G520" s="3"/>
      <c r="H520" s="3"/>
      <c r="I520" s="3"/>
      <c r="K520" s="10"/>
      <c r="P520" s="32"/>
    </row>
    <row r="521">
      <c r="E521" s="3"/>
      <c r="F521" s="3"/>
      <c r="G521" s="3"/>
      <c r="H521" s="3"/>
      <c r="I521" s="3"/>
      <c r="K521" s="10"/>
      <c r="P521" s="32"/>
    </row>
    <row r="522">
      <c r="E522" s="3"/>
      <c r="F522" s="3"/>
      <c r="G522" s="3"/>
      <c r="H522" s="3"/>
      <c r="I522" s="3"/>
      <c r="K522" s="10"/>
      <c r="P522" s="32"/>
    </row>
    <row r="523">
      <c r="E523" s="3"/>
      <c r="F523" s="3"/>
      <c r="G523" s="3"/>
      <c r="H523" s="3"/>
      <c r="I523" s="3"/>
      <c r="K523" s="10"/>
      <c r="P523" s="32"/>
    </row>
    <row r="524">
      <c r="E524" s="3"/>
      <c r="F524" s="3"/>
      <c r="G524" s="3"/>
      <c r="H524" s="3"/>
      <c r="I524" s="3"/>
      <c r="K524" s="10"/>
      <c r="P524" s="32"/>
    </row>
    <row r="525">
      <c r="E525" s="3"/>
      <c r="F525" s="3"/>
      <c r="G525" s="3"/>
      <c r="H525" s="3"/>
      <c r="I525" s="3"/>
      <c r="K525" s="10"/>
      <c r="P525" s="32"/>
    </row>
    <row r="526">
      <c r="E526" s="3"/>
      <c r="F526" s="3"/>
      <c r="G526" s="3"/>
      <c r="H526" s="3"/>
      <c r="I526" s="3"/>
      <c r="K526" s="10"/>
      <c r="P526" s="32"/>
    </row>
    <row r="527">
      <c r="E527" s="3"/>
      <c r="F527" s="3"/>
      <c r="G527" s="3"/>
      <c r="H527" s="3"/>
      <c r="I527" s="3"/>
      <c r="K527" s="10"/>
      <c r="P527" s="32"/>
    </row>
    <row r="528">
      <c r="E528" s="3"/>
      <c r="F528" s="3"/>
      <c r="G528" s="3"/>
      <c r="H528" s="3"/>
      <c r="I528" s="3"/>
      <c r="K528" s="10"/>
      <c r="P528" s="32"/>
    </row>
    <row r="529">
      <c r="E529" s="3"/>
      <c r="F529" s="3"/>
      <c r="G529" s="3"/>
      <c r="H529" s="3"/>
      <c r="I529" s="3"/>
      <c r="K529" s="10"/>
      <c r="P529" s="32"/>
    </row>
    <row r="530">
      <c r="E530" s="3"/>
      <c r="F530" s="3"/>
      <c r="G530" s="3"/>
      <c r="H530" s="3"/>
      <c r="I530" s="3"/>
      <c r="K530" s="10"/>
      <c r="P530" s="32"/>
    </row>
    <row r="531">
      <c r="E531" s="3"/>
      <c r="F531" s="3"/>
      <c r="G531" s="3"/>
      <c r="H531" s="3"/>
      <c r="I531" s="3"/>
      <c r="K531" s="10"/>
      <c r="P531" s="32"/>
    </row>
    <row r="532">
      <c r="E532" s="3"/>
      <c r="F532" s="3"/>
      <c r="G532" s="3"/>
      <c r="H532" s="3"/>
      <c r="I532" s="3"/>
      <c r="K532" s="10"/>
      <c r="P532" s="32"/>
    </row>
    <row r="533">
      <c r="E533" s="3"/>
      <c r="F533" s="3"/>
      <c r="G533" s="3"/>
      <c r="H533" s="3"/>
      <c r="I533" s="3"/>
      <c r="K533" s="10"/>
      <c r="P533" s="32"/>
    </row>
    <row r="534">
      <c r="E534" s="3"/>
      <c r="F534" s="3"/>
      <c r="G534" s="3"/>
      <c r="H534" s="3"/>
      <c r="I534" s="3"/>
      <c r="K534" s="10"/>
      <c r="P534" s="32"/>
    </row>
    <row r="535">
      <c r="E535" s="3"/>
      <c r="F535" s="3"/>
      <c r="G535" s="3"/>
      <c r="H535" s="3"/>
      <c r="I535" s="3"/>
      <c r="K535" s="10"/>
      <c r="P535" s="32"/>
    </row>
    <row r="536">
      <c r="E536" s="3"/>
      <c r="F536" s="3"/>
      <c r="G536" s="3"/>
      <c r="H536" s="3"/>
      <c r="I536" s="3"/>
      <c r="K536" s="10"/>
      <c r="P536" s="32"/>
    </row>
    <row r="537">
      <c r="E537" s="3"/>
      <c r="F537" s="3"/>
      <c r="G537" s="3"/>
      <c r="H537" s="3"/>
      <c r="I537" s="3"/>
      <c r="K537" s="10"/>
      <c r="P537" s="32"/>
    </row>
    <row r="538">
      <c r="E538" s="3"/>
      <c r="F538" s="3"/>
      <c r="G538" s="3"/>
      <c r="H538" s="3"/>
      <c r="I538" s="3"/>
      <c r="K538" s="10"/>
      <c r="P538" s="32"/>
    </row>
    <row r="539">
      <c r="E539" s="3"/>
      <c r="F539" s="3"/>
      <c r="G539" s="3"/>
      <c r="H539" s="3"/>
      <c r="I539" s="3"/>
      <c r="K539" s="10"/>
      <c r="P539" s="32"/>
    </row>
    <row r="540">
      <c r="E540" s="3"/>
      <c r="F540" s="3"/>
      <c r="G540" s="3"/>
      <c r="H540" s="3"/>
      <c r="I540" s="3"/>
      <c r="K540" s="10"/>
      <c r="P540" s="32"/>
    </row>
    <row r="541">
      <c r="E541" s="3"/>
      <c r="F541" s="3"/>
      <c r="G541" s="3"/>
      <c r="H541" s="3"/>
      <c r="I541" s="3"/>
      <c r="K541" s="10"/>
      <c r="P541" s="32"/>
    </row>
    <row r="542">
      <c r="E542" s="3"/>
      <c r="F542" s="3"/>
      <c r="G542" s="3"/>
      <c r="H542" s="3"/>
      <c r="I542" s="3"/>
      <c r="K542" s="10"/>
      <c r="P542" s="32"/>
    </row>
    <row r="543">
      <c r="E543" s="3"/>
      <c r="F543" s="3"/>
      <c r="G543" s="3"/>
      <c r="H543" s="3"/>
      <c r="I543" s="3"/>
      <c r="K543" s="10"/>
      <c r="P543" s="32"/>
    </row>
    <row r="544">
      <c r="E544" s="3"/>
      <c r="F544" s="3"/>
      <c r="G544" s="3"/>
      <c r="H544" s="3"/>
      <c r="I544" s="3"/>
      <c r="K544" s="10"/>
      <c r="P544" s="32"/>
    </row>
    <row r="545">
      <c r="E545" s="3"/>
      <c r="F545" s="3"/>
      <c r="G545" s="3"/>
      <c r="H545" s="3"/>
      <c r="I545" s="3"/>
      <c r="K545" s="10"/>
      <c r="P545" s="32"/>
    </row>
    <row r="546">
      <c r="E546" s="3"/>
      <c r="F546" s="3"/>
      <c r="G546" s="3"/>
      <c r="H546" s="3"/>
      <c r="I546" s="3"/>
      <c r="K546" s="10"/>
      <c r="P546" s="32"/>
    </row>
    <row r="547">
      <c r="E547" s="3"/>
      <c r="F547" s="3"/>
      <c r="G547" s="3"/>
      <c r="H547" s="3"/>
      <c r="I547" s="3"/>
      <c r="K547" s="10"/>
      <c r="P547" s="32"/>
    </row>
    <row r="548">
      <c r="E548" s="3"/>
      <c r="F548" s="3"/>
      <c r="G548" s="3"/>
      <c r="H548" s="3"/>
      <c r="I548" s="3"/>
      <c r="K548" s="10"/>
      <c r="P548" s="32"/>
    </row>
    <row r="549">
      <c r="E549" s="3"/>
      <c r="F549" s="3"/>
      <c r="G549" s="3"/>
      <c r="H549" s="3"/>
      <c r="I549" s="3"/>
      <c r="K549" s="10"/>
      <c r="P549" s="32"/>
    </row>
    <row r="550">
      <c r="E550" s="3"/>
      <c r="F550" s="3"/>
      <c r="G550" s="3"/>
      <c r="H550" s="3"/>
      <c r="I550" s="3"/>
      <c r="K550" s="10"/>
      <c r="P550" s="32"/>
    </row>
    <row r="551">
      <c r="E551" s="3"/>
      <c r="F551" s="3"/>
      <c r="G551" s="3"/>
      <c r="H551" s="3"/>
      <c r="I551" s="3"/>
      <c r="K551" s="10"/>
      <c r="P551" s="32"/>
    </row>
    <row r="552">
      <c r="E552" s="3"/>
      <c r="F552" s="3"/>
      <c r="G552" s="3"/>
      <c r="H552" s="3"/>
      <c r="I552" s="3"/>
      <c r="K552" s="10"/>
      <c r="P552" s="32"/>
    </row>
    <row r="553">
      <c r="E553" s="3"/>
      <c r="F553" s="3"/>
      <c r="G553" s="3"/>
      <c r="H553" s="3"/>
      <c r="I553" s="3"/>
      <c r="K553" s="10"/>
      <c r="P553" s="32"/>
    </row>
    <row r="554">
      <c r="E554" s="3"/>
      <c r="F554" s="3"/>
      <c r="G554" s="3"/>
      <c r="H554" s="3"/>
      <c r="I554" s="3"/>
      <c r="K554" s="10"/>
      <c r="P554" s="32"/>
    </row>
    <row r="555">
      <c r="E555" s="3"/>
      <c r="F555" s="3"/>
      <c r="G555" s="3"/>
      <c r="H555" s="3"/>
      <c r="I555" s="3"/>
      <c r="K555" s="10"/>
      <c r="P555" s="32"/>
    </row>
    <row r="556">
      <c r="E556" s="3"/>
      <c r="F556" s="3"/>
      <c r="G556" s="3"/>
      <c r="H556" s="3"/>
      <c r="I556" s="3"/>
      <c r="K556" s="10"/>
      <c r="P556" s="32"/>
    </row>
    <row r="557">
      <c r="E557" s="3"/>
      <c r="F557" s="3"/>
      <c r="G557" s="3"/>
      <c r="H557" s="3"/>
      <c r="I557" s="3"/>
      <c r="K557" s="10"/>
      <c r="P557" s="32"/>
    </row>
    <row r="558">
      <c r="E558" s="3"/>
      <c r="F558" s="3"/>
      <c r="G558" s="3"/>
      <c r="H558" s="3"/>
      <c r="I558" s="3"/>
      <c r="K558" s="10"/>
      <c r="P558" s="32"/>
    </row>
    <row r="559">
      <c r="E559" s="3"/>
      <c r="F559" s="3"/>
      <c r="G559" s="3"/>
      <c r="H559" s="3"/>
      <c r="I559" s="3"/>
      <c r="K559" s="10"/>
      <c r="P559" s="32"/>
    </row>
    <row r="560">
      <c r="E560" s="3"/>
      <c r="F560" s="3"/>
      <c r="G560" s="3"/>
      <c r="H560" s="3"/>
      <c r="I560" s="3"/>
      <c r="K560" s="10"/>
      <c r="P560" s="32"/>
    </row>
    <row r="561">
      <c r="E561" s="3"/>
      <c r="F561" s="3"/>
      <c r="G561" s="3"/>
      <c r="H561" s="3"/>
      <c r="I561" s="3"/>
      <c r="K561" s="10"/>
      <c r="P561" s="32"/>
    </row>
    <row r="562">
      <c r="E562" s="3"/>
      <c r="F562" s="3"/>
      <c r="G562" s="3"/>
      <c r="H562" s="3"/>
      <c r="I562" s="3"/>
      <c r="K562" s="10"/>
      <c r="P562" s="32"/>
    </row>
    <row r="563">
      <c r="E563" s="3"/>
      <c r="F563" s="3"/>
      <c r="G563" s="3"/>
      <c r="H563" s="3"/>
      <c r="I563" s="3"/>
      <c r="K563" s="10"/>
      <c r="P563" s="32"/>
    </row>
    <row r="564">
      <c r="E564" s="3"/>
      <c r="F564" s="3"/>
      <c r="G564" s="3"/>
      <c r="H564" s="3"/>
      <c r="I564" s="3"/>
      <c r="K564" s="10"/>
      <c r="P564" s="32"/>
    </row>
    <row r="565">
      <c r="E565" s="3"/>
      <c r="F565" s="3"/>
      <c r="G565" s="3"/>
      <c r="H565" s="3"/>
      <c r="I565" s="3"/>
      <c r="K565" s="10"/>
      <c r="P565" s="32"/>
    </row>
    <row r="566">
      <c r="E566" s="3"/>
      <c r="F566" s="3"/>
      <c r="G566" s="3"/>
      <c r="H566" s="3"/>
      <c r="I566" s="3"/>
      <c r="K566" s="10"/>
      <c r="P566" s="32"/>
    </row>
    <row r="567">
      <c r="E567" s="3"/>
      <c r="F567" s="3"/>
      <c r="G567" s="3"/>
      <c r="H567" s="3"/>
      <c r="I567" s="3"/>
      <c r="K567" s="10"/>
      <c r="P567" s="32"/>
    </row>
    <row r="568">
      <c r="E568" s="3"/>
      <c r="F568" s="3"/>
      <c r="G568" s="3"/>
      <c r="H568" s="3"/>
      <c r="I568" s="3"/>
      <c r="K568" s="10"/>
      <c r="P568" s="32"/>
    </row>
    <row r="569">
      <c r="E569" s="3"/>
      <c r="F569" s="3"/>
      <c r="G569" s="3"/>
      <c r="H569" s="3"/>
      <c r="I569" s="3"/>
      <c r="K569" s="10"/>
      <c r="P569" s="32"/>
    </row>
    <row r="570">
      <c r="E570" s="3"/>
      <c r="F570" s="3"/>
      <c r="G570" s="3"/>
      <c r="H570" s="3"/>
      <c r="I570" s="3"/>
      <c r="K570" s="10"/>
      <c r="P570" s="32"/>
    </row>
    <row r="571">
      <c r="E571" s="3"/>
      <c r="F571" s="3"/>
      <c r="G571" s="3"/>
      <c r="H571" s="3"/>
      <c r="I571" s="3"/>
      <c r="K571" s="10"/>
      <c r="P571" s="32"/>
    </row>
    <row r="572">
      <c r="E572" s="3"/>
      <c r="F572" s="3"/>
      <c r="G572" s="3"/>
      <c r="H572" s="3"/>
      <c r="I572" s="3"/>
      <c r="K572" s="10"/>
      <c r="P572" s="32"/>
    </row>
    <row r="573">
      <c r="E573" s="3"/>
      <c r="F573" s="3"/>
      <c r="G573" s="3"/>
      <c r="H573" s="3"/>
      <c r="I573" s="3"/>
      <c r="K573" s="10"/>
      <c r="P573" s="32"/>
    </row>
    <row r="574">
      <c r="E574" s="3"/>
      <c r="F574" s="3"/>
      <c r="G574" s="3"/>
      <c r="H574" s="3"/>
      <c r="I574" s="3"/>
      <c r="K574" s="10"/>
      <c r="P574" s="32"/>
    </row>
    <row r="575">
      <c r="E575" s="3"/>
      <c r="F575" s="3"/>
      <c r="G575" s="3"/>
      <c r="H575" s="3"/>
      <c r="I575" s="3"/>
      <c r="K575" s="10"/>
      <c r="P575" s="32"/>
    </row>
    <row r="576">
      <c r="E576" s="3"/>
      <c r="F576" s="3"/>
      <c r="G576" s="3"/>
      <c r="H576" s="3"/>
      <c r="I576" s="3"/>
      <c r="K576" s="10"/>
      <c r="P576" s="32"/>
    </row>
    <row r="577">
      <c r="E577" s="3"/>
      <c r="F577" s="3"/>
      <c r="G577" s="3"/>
      <c r="H577" s="3"/>
      <c r="I577" s="3"/>
      <c r="K577" s="10"/>
      <c r="P577" s="32"/>
    </row>
    <row r="578">
      <c r="E578" s="3"/>
      <c r="F578" s="3"/>
      <c r="G578" s="3"/>
      <c r="H578" s="3"/>
      <c r="I578" s="3"/>
      <c r="K578" s="10"/>
      <c r="P578" s="32"/>
    </row>
    <row r="579">
      <c r="E579" s="3"/>
      <c r="F579" s="3"/>
      <c r="G579" s="3"/>
      <c r="H579" s="3"/>
      <c r="I579" s="3"/>
      <c r="K579" s="10"/>
      <c r="P579" s="32"/>
    </row>
    <row r="580">
      <c r="E580" s="3"/>
      <c r="F580" s="3"/>
      <c r="G580" s="3"/>
      <c r="H580" s="3"/>
      <c r="I580" s="3"/>
      <c r="K580" s="10"/>
      <c r="P580" s="32"/>
    </row>
    <row r="581">
      <c r="E581" s="3"/>
      <c r="F581" s="3"/>
      <c r="G581" s="3"/>
      <c r="H581" s="3"/>
      <c r="I581" s="3"/>
      <c r="K581" s="10"/>
      <c r="P581" s="32"/>
    </row>
    <row r="582">
      <c r="E582" s="3"/>
      <c r="F582" s="3"/>
      <c r="G582" s="3"/>
      <c r="H582" s="3"/>
      <c r="I582" s="3"/>
      <c r="K582" s="10"/>
      <c r="P582" s="32"/>
    </row>
    <row r="583">
      <c r="E583" s="3"/>
      <c r="F583" s="3"/>
      <c r="G583" s="3"/>
      <c r="H583" s="3"/>
      <c r="I583" s="3"/>
      <c r="K583" s="10"/>
      <c r="P583" s="32"/>
    </row>
    <row r="584">
      <c r="E584" s="3"/>
      <c r="F584" s="3"/>
      <c r="G584" s="3"/>
      <c r="H584" s="3"/>
      <c r="I584" s="3"/>
      <c r="K584" s="10"/>
      <c r="P584" s="32"/>
    </row>
    <row r="585">
      <c r="E585" s="3"/>
      <c r="F585" s="3"/>
      <c r="G585" s="3"/>
      <c r="H585" s="3"/>
      <c r="I585" s="3"/>
      <c r="K585" s="10"/>
      <c r="P585" s="32"/>
    </row>
    <row r="586">
      <c r="E586" s="3"/>
      <c r="F586" s="3"/>
      <c r="G586" s="3"/>
      <c r="H586" s="3"/>
      <c r="I586" s="3"/>
      <c r="K586" s="10"/>
      <c r="P586" s="32"/>
    </row>
    <row r="587">
      <c r="E587" s="3"/>
      <c r="F587" s="3"/>
      <c r="G587" s="3"/>
      <c r="H587" s="3"/>
      <c r="I587" s="3"/>
      <c r="K587" s="10"/>
      <c r="P587" s="32"/>
    </row>
    <row r="588">
      <c r="E588" s="3"/>
      <c r="F588" s="3"/>
      <c r="G588" s="3"/>
      <c r="H588" s="3"/>
      <c r="I588" s="3"/>
      <c r="K588" s="10"/>
      <c r="P588" s="32"/>
    </row>
    <row r="589">
      <c r="E589" s="3"/>
      <c r="F589" s="3"/>
      <c r="G589" s="3"/>
      <c r="H589" s="3"/>
      <c r="I589" s="3"/>
      <c r="K589" s="10"/>
      <c r="P589" s="32"/>
    </row>
    <row r="590">
      <c r="E590" s="3"/>
      <c r="F590" s="3"/>
      <c r="G590" s="3"/>
      <c r="H590" s="3"/>
      <c r="I590" s="3"/>
      <c r="K590" s="10"/>
      <c r="P590" s="32"/>
    </row>
    <row r="591">
      <c r="E591" s="3"/>
      <c r="F591" s="3"/>
      <c r="G591" s="3"/>
      <c r="H591" s="3"/>
      <c r="I591" s="3"/>
      <c r="K591" s="10"/>
      <c r="P591" s="32"/>
    </row>
    <row r="592">
      <c r="E592" s="3"/>
      <c r="F592" s="3"/>
      <c r="G592" s="3"/>
      <c r="H592" s="3"/>
      <c r="I592" s="3"/>
      <c r="K592" s="10"/>
      <c r="P592" s="32"/>
    </row>
    <row r="593">
      <c r="E593" s="3"/>
      <c r="F593" s="3"/>
      <c r="G593" s="3"/>
      <c r="H593" s="3"/>
      <c r="I593" s="3"/>
      <c r="K593" s="10"/>
      <c r="P593" s="32"/>
    </row>
    <row r="594">
      <c r="E594" s="3"/>
      <c r="F594" s="3"/>
      <c r="G594" s="3"/>
      <c r="H594" s="3"/>
      <c r="I594" s="3"/>
      <c r="K594" s="10"/>
      <c r="P594" s="32"/>
    </row>
    <row r="595">
      <c r="E595" s="3"/>
      <c r="F595" s="3"/>
      <c r="G595" s="3"/>
      <c r="H595" s="3"/>
      <c r="I595" s="3"/>
      <c r="K595" s="10"/>
      <c r="P595" s="32"/>
    </row>
    <row r="596">
      <c r="E596" s="3"/>
      <c r="F596" s="3"/>
      <c r="G596" s="3"/>
      <c r="H596" s="3"/>
      <c r="I596" s="3"/>
      <c r="K596" s="10"/>
      <c r="P596" s="32"/>
    </row>
    <row r="597">
      <c r="E597" s="3"/>
      <c r="F597" s="3"/>
      <c r="G597" s="3"/>
      <c r="H597" s="3"/>
      <c r="I597" s="3"/>
      <c r="K597" s="10"/>
      <c r="P597" s="32"/>
    </row>
    <row r="598">
      <c r="E598" s="3"/>
      <c r="F598" s="3"/>
      <c r="G598" s="3"/>
      <c r="H598" s="3"/>
      <c r="I598" s="3"/>
      <c r="K598" s="10"/>
      <c r="P598" s="32"/>
    </row>
    <row r="599">
      <c r="E599" s="3"/>
      <c r="F599" s="3"/>
      <c r="G599" s="3"/>
      <c r="H599" s="3"/>
      <c r="I599" s="3"/>
      <c r="K599" s="10"/>
      <c r="P599" s="32"/>
    </row>
    <row r="600">
      <c r="E600" s="3"/>
      <c r="F600" s="3"/>
      <c r="G600" s="3"/>
      <c r="H600" s="3"/>
      <c r="I600" s="3"/>
      <c r="K600" s="10"/>
      <c r="P600" s="32"/>
    </row>
    <row r="601">
      <c r="E601" s="3"/>
      <c r="F601" s="3"/>
      <c r="G601" s="3"/>
      <c r="H601" s="3"/>
      <c r="I601" s="3"/>
      <c r="K601" s="10"/>
      <c r="P601" s="32"/>
    </row>
    <row r="602">
      <c r="E602" s="3"/>
      <c r="F602" s="3"/>
      <c r="G602" s="3"/>
      <c r="H602" s="3"/>
      <c r="I602" s="3"/>
      <c r="K602" s="10"/>
      <c r="P602" s="32"/>
    </row>
    <row r="603">
      <c r="E603" s="3"/>
      <c r="F603" s="3"/>
      <c r="G603" s="3"/>
      <c r="H603" s="3"/>
      <c r="I603" s="3"/>
      <c r="K603" s="10"/>
      <c r="P603" s="32"/>
    </row>
    <row r="604">
      <c r="E604" s="3"/>
      <c r="F604" s="3"/>
      <c r="G604" s="3"/>
      <c r="H604" s="3"/>
      <c r="I604" s="3"/>
      <c r="K604" s="10"/>
      <c r="P604" s="32"/>
    </row>
    <row r="605">
      <c r="E605" s="3"/>
      <c r="F605" s="3"/>
      <c r="G605" s="3"/>
      <c r="H605" s="3"/>
      <c r="I605" s="3"/>
      <c r="K605" s="10"/>
      <c r="P605" s="32"/>
    </row>
    <row r="606">
      <c r="E606" s="3"/>
      <c r="F606" s="3"/>
      <c r="G606" s="3"/>
      <c r="H606" s="3"/>
      <c r="I606" s="3"/>
      <c r="K606" s="10"/>
      <c r="P606" s="32"/>
    </row>
    <row r="607">
      <c r="E607" s="3"/>
      <c r="F607" s="3"/>
      <c r="G607" s="3"/>
      <c r="H607" s="3"/>
      <c r="I607" s="3"/>
      <c r="K607" s="10"/>
      <c r="P607" s="32"/>
    </row>
    <row r="608">
      <c r="E608" s="3"/>
      <c r="F608" s="3"/>
      <c r="G608" s="3"/>
      <c r="H608" s="3"/>
      <c r="I608" s="3"/>
      <c r="K608" s="10"/>
      <c r="P608" s="32"/>
    </row>
    <row r="609">
      <c r="E609" s="3"/>
      <c r="F609" s="3"/>
      <c r="G609" s="3"/>
      <c r="H609" s="3"/>
      <c r="I609" s="3"/>
      <c r="K609" s="10"/>
      <c r="P609" s="32"/>
    </row>
    <row r="610">
      <c r="E610" s="3"/>
      <c r="F610" s="3"/>
      <c r="G610" s="3"/>
      <c r="H610" s="3"/>
      <c r="I610" s="3"/>
      <c r="K610" s="10"/>
      <c r="P610" s="32"/>
    </row>
    <row r="611">
      <c r="E611" s="3"/>
      <c r="F611" s="3"/>
      <c r="G611" s="3"/>
      <c r="H611" s="3"/>
      <c r="I611" s="3"/>
      <c r="K611" s="10"/>
      <c r="P611" s="32"/>
    </row>
    <row r="612">
      <c r="E612" s="3"/>
      <c r="F612" s="3"/>
      <c r="G612" s="3"/>
      <c r="H612" s="3"/>
      <c r="I612" s="3"/>
      <c r="K612" s="10"/>
      <c r="P612" s="32"/>
    </row>
    <row r="613">
      <c r="E613" s="3"/>
      <c r="F613" s="3"/>
      <c r="G613" s="3"/>
      <c r="H613" s="3"/>
      <c r="I613" s="3"/>
      <c r="K613" s="10"/>
      <c r="P613" s="32"/>
    </row>
    <row r="614">
      <c r="E614" s="3"/>
      <c r="F614" s="3"/>
      <c r="G614" s="3"/>
      <c r="H614" s="3"/>
      <c r="I614" s="3"/>
      <c r="K614" s="10"/>
      <c r="P614" s="32"/>
    </row>
    <row r="615">
      <c r="E615" s="3"/>
      <c r="F615" s="3"/>
      <c r="G615" s="3"/>
      <c r="H615" s="3"/>
      <c r="I615" s="3"/>
      <c r="K615" s="10"/>
      <c r="P615" s="32"/>
    </row>
    <row r="616">
      <c r="E616" s="3"/>
      <c r="F616" s="3"/>
      <c r="G616" s="3"/>
      <c r="H616" s="3"/>
      <c r="I616" s="3"/>
      <c r="K616" s="10"/>
      <c r="P616" s="32"/>
    </row>
    <row r="617">
      <c r="E617" s="3"/>
      <c r="F617" s="3"/>
      <c r="G617" s="3"/>
      <c r="H617" s="3"/>
      <c r="I617" s="3"/>
      <c r="K617" s="10"/>
      <c r="P617" s="32"/>
    </row>
    <row r="618">
      <c r="E618" s="3"/>
      <c r="F618" s="3"/>
      <c r="G618" s="3"/>
      <c r="H618" s="3"/>
      <c r="I618" s="3"/>
      <c r="K618" s="10"/>
      <c r="P618" s="32"/>
    </row>
    <row r="619">
      <c r="E619" s="3"/>
      <c r="F619" s="3"/>
      <c r="G619" s="3"/>
      <c r="H619" s="3"/>
      <c r="I619" s="3"/>
      <c r="K619" s="10"/>
      <c r="P619" s="32"/>
    </row>
    <row r="620">
      <c r="E620" s="3"/>
      <c r="F620" s="3"/>
      <c r="G620" s="3"/>
      <c r="H620" s="3"/>
      <c r="I620" s="3"/>
      <c r="K620" s="10"/>
      <c r="P620" s="32"/>
    </row>
    <row r="621">
      <c r="E621" s="3"/>
      <c r="F621" s="3"/>
      <c r="G621" s="3"/>
      <c r="H621" s="3"/>
      <c r="I621" s="3"/>
      <c r="K621" s="10"/>
      <c r="P621" s="32"/>
    </row>
    <row r="622">
      <c r="E622" s="3"/>
      <c r="F622" s="3"/>
      <c r="G622" s="3"/>
      <c r="H622" s="3"/>
      <c r="I622" s="3"/>
      <c r="K622" s="10"/>
      <c r="P622" s="32"/>
    </row>
    <row r="623">
      <c r="E623" s="3"/>
      <c r="F623" s="3"/>
      <c r="G623" s="3"/>
      <c r="H623" s="3"/>
      <c r="I623" s="3"/>
      <c r="K623" s="10"/>
      <c r="P623" s="32"/>
    </row>
    <row r="624">
      <c r="E624" s="3"/>
      <c r="F624" s="3"/>
      <c r="G624" s="3"/>
      <c r="H624" s="3"/>
      <c r="I624" s="3"/>
      <c r="K624" s="10"/>
      <c r="P624" s="32"/>
    </row>
    <row r="625">
      <c r="E625" s="3"/>
      <c r="F625" s="3"/>
      <c r="G625" s="3"/>
      <c r="H625" s="3"/>
      <c r="I625" s="3"/>
      <c r="K625" s="10"/>
      <c r="P625" s="32"/>
    </row>
    <row r="626">
      <c r="E626" s="3"/>
      <c r="F626" s="3"/>
      <c r="G626" s="3"/>
      <c r="H626" s="3"/>
      <c r="I626" s="3"/>
      <c r="K626" s="10"/>
      <c r="P626" s="32"/>
    </row>
    <row r="627">
      <c r="E627" s="3"/>
      <c r="F627" s="3"/>
      <c r="G627" s="3"/>
      <c r="H627" s="3"/>
      <c r="I627" s="3"/>
      <c r="K627" s="10"/>
      <c r="P627" s="32"/>
    </row>
    <row r="628">
      <c r="E628" s="3"/>
      <c r="F628" s="3"/>
      <c r="G628" s="3"/>
      <c r="H628" s="3"/>
      <c r="I628" s="3"/>
      <c r="K628" s="10"/>
      <c r="P628" s="32"/>
    </row>
    <row r="629">
      <c r="E629" s="3"/>
      <c r="F629" s="3"/>
      <c r="G629" s="3"/>
      <c r="H629" s="3"/>
      <c r="I629" s="3"/>
      <c r="K629" s="10"/>
      <c r="P629" s="32"/>
    </row>
    <row r="630">
      <c r="E630" s="3"/>
      <c r="F630" s="3"/>
      <c r="G630" s="3"/>
      <c r="H630" s="3"/>
      <c r="I630" s="3"/>
      <c r="K630" s="10"/>
      <c r="P630" s="32"/>
    </row>
    <row r="631">
      <c r="E631" s="3"/>
      <c r="F631" s="3"/>
      <c r="G631" s="3"/>
      <c r="H631" s="3"/>
      <c r="I631" s="3"/>
      <c r="K631" s="10"/>
      <c r="P631" s="32"/>
    </row>
    <row r="632">
      <c r="E632" s="3"/>
      <c r="F632" s="3"/>
      <c r="G632" s="3"/>
      <c r="H632" s="3"/>
      <c r="I632" s="3"/>
      <c r="K632" s="10"/>
      <c r="P632" s="32"/>
    </row>
    <row r="633">
      <c r="E633" s="3"/>
      <c r="F633" s="3"/>
      <c r="G633" s="3"/>
      <c r="H633" s="3"/>
      <c r="I633" s="3"/>
      <c r="K633" s="10"/>
      <c r="P633" s="32"/>
    </row>
    <row r="634">
      <c r="E634" s="3"/>
      <c r="F634" s="3"/>
      <c r="G634" s="3"/>
      <c r="H634" s="3"/>
      <c r="I634" s="3"/>
      <c r="K634" s="10"/>
      <c r="P634" s="32"/>
    </row>
    <row r="635">
      <c r="E635" s="3"/>
      <c r="F635" s="3"/>
      <c r="G635" s="3"/>
      <c r="H635" s="3"/>
      <c r="I635" s="3"/>
      <c r="K635" s="10"/>
      <c r="P635" s="32"/>
    </row>
    <row r="636">
      <c r="E636" s="3"/>
      <c r="F636" s="3"/>
      <c r="G636" s="3"/>
      <c r="H636" s="3"/>
      <c r="I636" s="3"/>
      <c r="K636" s="10"/>
      <c r="P636" s="32"/>
    </row>
    <row r="637">
      <c r="E637" s="3"/>
      <c r="F637" s="3"/>
      <c r="G637" s="3"/>
      <c r="H637" s="3"/>
      <c r="I637" s="3"/>
      <c r="K637" s="10"/>
      <c r="P637" s="32"/>
    </row>
    <row r="638">
      <c r="E638" s="3"/>
      <c r="F638" s="3"/>
      <c r="G638" s="3"/>
      <c r="H638" s="3"/>
      <c r="I638" s="3"/>
      <c r="K638" s="10"/>
      <c r="P638" s="32"/>
    </row>
    <row r="639">
      <c r="E639" s="3"/>
      <c r="F639" s="3"/>
      <c r="G639" s="3"/>
      <c r="H639" s="3"/>
      <c r="I639" s="3"/>
      <c r="K639" s="10"/>
      <c r="P639" s="32"/>
    </row>
    <row r="640">
      <c r="E640" s="3"/>
      <c r="F640" s="3"/>
      <c r="G640" s="3"/>
      <c r="H640" s="3"/>
      <c r="I640" s="3"/>
      <c r="K640" s="10"/>
      <c r="P640" s="32"/>
    </row>
    <row r="641">
      <c r="E641" s="3"/>
      <c r="F641" s="3"/>
      <c r="G641" s="3"/>
      <c r="H641" s="3"/>
      <c r="I641" s="3"/>
      <c r="K641" s="10"/>
      <c r="P641" s="32"/>
    </row>
    <row r="642">
      <c r="E642" s="3"/>
      <c r="F642" s="3"/>
      <c r="G642" s="3"/>
      <c r="H642" s="3"/>
      <c r="I642" s="3"/>
      <c r="K642" s="10"/>
      <c r="P642" s="32"/>
    </row>
    <row r="643">
      <c r="E643" s="3"/>
      <c r="F643" s="3"/>
      <c r="G643" s="3"/>
      <c r="H643" s="3"/>
      <c r="I643" s="3"/>
      <c r="K643" s="10"/>
      <c r="P643" s="32"/>
    </row>
    <row r="644">
      <c r="E644" s="3"/>
      <c r="F644" s="3"/>
      <c r="G644" s="3"/>
      <c r="H644" s="3"/>
      <c r="I644" s="3"/>
      <c r="K644" s="10"/>
      <c r="P644" s="32"/>
    </row>
    <row r="645">
      <c r="E645" s="3"/>
      <c r="F645" s="3"/>
      <c r="G645" s="3"/>
      <c r="H645" s="3"/>
      <c r="I645" s="3"/>
      <c r="K645" s="10"/>
      <c r="P645" s="32"/>
    </row>
    <row r="646">
      <c r="E646" s="3"/>
      <c r="F646" s="3"/>
      <c r="G646" s="3"/>
      <c r="H646" s="3"/>
      <c r="I646" s="3"/>
      <c r="K646" s="10"/>
      <c r="P646" s="32"/>
    </row>
    <row r="647">
      <c r="E647" s="3"/>
      <c r="F647" s="3"/>
      <c r="G647" s="3"/>
      <c r="H647" s="3"/>
      <c r="I647" s="3"/>
      <c r="K647" s="10"/>
      <c r="P647" s="32"/>
    </row>
    <row r="648">
      <c r="E648" s="3"/>
      <c r="F648" s="3"/>
      <c r="G648" s="3"/>
      <c r="H648" s="3"/>
      <c r="I648" s="3"/>
      <c r="K648" s="10"/>
      <c r="P648" s="32"/>
    </row>
    <row r="649">
      <c r="E649" s="3"/>
      <c r="F649" s="3"/>
      <c r="G649" s="3"/>
      <c r="H649" s="3"/>
      <c r="I649" s="3"/>
      <c r="K649" s="10"/>
      <c r="P649" s="32"/>
    </row>
    <row r="650">
      <c r="E650" s="3"/>
      <c r="F650" s="3"/>
      <c r="G650" s="3"/>
      <c r="H650" s="3"/>
      <c r="I650" s="3"/>
      <c r="K650" s="10"/>
      <c r="P650" s="32"/>
    </row>
    <row r="651">
      <c r="E651" s="3"/>
      <c r="F651" s="3"/>
      <c r="G651" s="3"/>
      <c r="H651" s="3"/>
      <c r="I651" s="3"/>
      <c r="K651" s="10"/>
      <c r="P651" s="32"/>
    </row>
    <row r="652">
      <c r="E652" s="3"/>
      <c r="F652" s="3"/>
      <c r="G652" s="3"/>
      <c r="H652" s="3"/>
      <c r="I652" s="3"/>
      <c r="K652" s="10"/>
      <c r="P652" s="32"/>
    </row>
    <row r="653">
      <c r="E653" s="3"/>
      <c r="F653" s="3"/>
      <c r="G653" s="3"/>
      <c r="H653" s="3"/>
      <c r="I653" s="3"/>
      <c r="K653" s="10"/>
      <c r="P653" s="32"/>
    </row>
    <row r="654">
      <c r="E654" s="3"/>
      <c r="F654" s="3"/>
      <c r="G654" s="3"/>
      <c r="H654" s="3"/>
      <c r="I654" s="3"/>
      <c r="K654" s="10"/>
      <c r="P654" s="32"/>
    </row>
    <row r="655">
      <c r="E655" s="3"/>
      <c r="F655" s="3"/>
      <c r="G655" s="3"/>
      <c r="H655" s="3"/>
      <c r="I655" s="3"/>
      <c r="K655" s="10"/>
      <c r="P655" s="32"/>
    </row>
    <row r="656">
      <c r="E656" s="3"/>
      <c r="F656" s="3"/>
      <c r="G656" s="3"/>
      <c r="H656" s="3"/>
      <c r="I656" s="3"/>
      <c r="K656" s="10"/>
      <c r="P656" s="32"/>
    </row>
    <row r="657">
      <c r="E657" s="3"/>
      <c r="F657" s="3"/>
      <c r="G657" s="3"/>
      <c r="H657" s="3"/>
      <c r="I657" s="3"/>
      <c r="K657" s="10"/>
      <c r="P657" s="32"/>
    </row>
    <row r="658">
      <c r="E658" s="3"/>
      <c r="F658" s="3"/>
      <c r="G658" s="3"/>
      <c r="H658" s="3"/>
      <c r="I658" s="3"/>
      <c r="K658" s="10"/>
      <c r="P658" s="32"/>
    </row>
    <row r="659">
      <c r="E659" s="3"/>
      <c r="F659" s="3"/>
      <c r="G659" s="3"/>
      <c r="H659" s="3"/>
      <c r="I659" s="3"/>
      <c r="K659" s="10"/>
      <c r="P659" s="32"/>
    </row>
    <row r="660">
      <c r="E660" s="3"/>
      <c r="F660" s="3"/>
      <c r="G660" s="3"/>
      <c r="H660" s="3"/>
      <c r="I660" s="3"/>
      <c r="K660" s="10"/>
      <c r="P660" s="32"/>
    </row>
    <row r="661">
      <c r="E661" s="3"/>
      <c r="F661" s="3"/>
      <c r="G661" s="3"/>
      <c r="H661" s="3"/>
      <c r="I661" s="3"/>
      <c r="K661" s="10"/>
      <c r="P661" s="32"/>
    </row>
    <row r="662">
      <c r="E662" s="3"/>
      <c r="F662" s="3"/>
      <c r="G662" s="3"/>
      <c r="H662" s="3"/>
      <c r="I662" s="3"/>
      <c r="K662" s="10"/>
      <c r="P662" s="32"/>
    </row>
    <row r="663">
      <c r="E663" s="3"/>
      <c r="F663" s="3"/>
      <c r="G663" s="3"/>
      <c r="H663" s="3"/>
      <c r="I663" s="3"/>
      <c r="K663" s="10"/>
      <c r="P663" s="32"/>
    </row>
    <row r="664">
      <c r="E664" s="3"/>
      <c r="F664" s="3"/>
      <c r="G664" s="3"/>
      <c r="H664" s="3"/>
      <c r="I664" s="3"/>
      <c r="K664" s="10"/>
      <c r="P664" s="32"/>
    </row>
    <row r="665">
      <c r="E665" s="3"/>
      <c r="F665" s="3"/>
      <c r="G665" s="3"/>
      <c r="H665" s="3"/>
      <c r="I665" s="3"/>
      <c r="K665" s="10"/>
      <c r="P665" s="32"/>
    </row>
    <row r="666">
      <c r="E666" s="3"/>
      <c r="F666" s="3"/>
      <c r="G666" s="3"/>
      <c r="H666" s="3"/>
      <c r="I666" s="3"/>
      <c r="K666" s="10"/>
      <c r="P666" s="32"/>
    </row>
    <row r="667">
      <c r="E667" s="3"/>
      <c r="F667" s="3"/>
      <c r="G667" s="3"/>
      <c r="H667" s="3"/>
      <c r="I667" s="3"/>
      <c r="K667" s="10"/>
      <c r="P667" s="32"/>
    </row>
    <row r="668">
      <c r="E668" s="3"/>
      <c r="F668" s="3"/>
      <c r="G668" s="3"/>
      <c r="H668" s="3"/>
      <c r="I668" s="3"/>
      <c r="K668" s="10"/>
      <c r="P668" s="32"/>
    </row>
    <row r="669">
      <c r="E669" s="3"/>
      <c r="F669" s="3"/>
      <c r="G669" s="3"/>
      <c r="H669" s="3"/>
      <c r="I669" s="3"/>
      <c r="K669" s="10"/>
      <c r="P669" s="32"/>
    </row>
    <row r="670">
      <c r="E670" s="3"/>
      <c r="F670" s="3"/>
      <c r="G670" s="3"/>
      <c r="H670" s="3"/>
      <c r="I670" s="3"/>
      <c r="K670" s="10"/>
      <c r="P670" s="32"/>
    </row>
    <row r="671">
      <c r="E671" s="3"/>
      <c r="F671" s="3"/>
      <c r="G671" s="3"/>
      <c r="H671" s="3"/>
      <c r="I671" s="3"/>
      <c r="K671" s="10"/>
      <c r="P671" s="32"/>
    </row>
    <row r="672">
      <c r="E672" s="3"/>
      <c r="F672" s="3"/>
      <c r="G672" s="3"/>
      <c r="H672" s="3"/>
      <c r="I672" s="3"/>
      <c r="K672" s="10"/>
      <c r="P672" s="32"/>
    </row>
    <row r="673">
      <c r="E673" s="3"/>
      <c r="F673" s="3"/>
      <c r="G673" s="3"/>
      <c r="H673" s="3"/>
      <c r="I673" s="3"/>
      <c r="K673" s="10"/>
      <c r="P673" s="32"/>
    </row>
    <row r="674">
      <c r="E674" s="3"/>
      <c r="F674" s="3"/>
      <c r="G674" s="3"/>
      <c r="H674" s="3"/>
      <c r="I674" s="3"/>
      <c r="K674" s="10"/>
      <c r="P674" s="32"/>
    </row>
    <row r="675">
      <c r="E675" s="3"/>
      <c r="F675" s="3"/>
      <c r="G675" s="3"/>
      <c r="H675" s="3"/>
      <c r="I675" s="3"/>
      <c r="K675" s="10"/>
      <c r="P675" s="32"/>
    </row>
    <row r="676">
      <c r="E676" s="3"/>
      <c r="F676" s="3"/>
      <c r="G676" s="3"/>
      <c r="H676" s="3"/>
      <c r="I676" s="3"/>
      <c r="K676" s="10"/>
      <c r="P676" s="32"/>
    </row>
    <row r="677">
      <c r="E677" s="3"/>
      <c r="F677" s="3"/>
      <c r="G677" s="3"/>
      <c r="H677" s="3"/>
      <c r="I677" s="3"/>
      <c r="K677" s="10"/>
      <c r="P677" s="32"/>
    </row>
    <row r="678">
      <c r="E678" s="3"/>
      <c r="F678" s="3"/>
      <c r="G678" s="3"/>
      <c r="H678" s="3"/>
      <c r="I678" s="3"/>
      <c r="K678" s="10"/>
      <c r="P678" s="32"/>
    </row>
    <row r="679">
      <c r="E679" s="3"/>
      <c r="F679" s="3"/>
      <c r="G679" s="3"/>
      <c r="H679" s="3"/>
      <c r="I679" s="3"/>
      <c r="K679" s="10"/>
      <c r="P679" s="32"/>
    </row>
    <row r="680">
      <c r="E680" s="3"/>
      <c r="F680" s="3"/>
      <c r="G680" s="3"/>
      <c r="H680" s="3"/>
      <c r="I680" s="3"/>
      <c r="K680" s="10"/>
      <c r="P680" s="32"/>
    </row>
    <row r="681">
      <c r="E681" s="3"/>
      <c r="F681" s="3"/>
      <c r="G681" s="3"/>
      <c r="H681" s="3"/>
      <c r="I681" s="3"/>
      <c r="K681" s="10"/>
      <c r="P681" s="32"/>
    </row>
    <row r="682">
      <c r="E682" s="3"/>
      <c r="F682" s="3"/>
      <c r="G682" s="3"/>
      <c r="H682" s="3"/>
      <c r="I682" s="3"/>
      <c r="K682" s="10"/>
      <c r="P682" s="32"/>
    </row>
    <row r="683">
      <c r="E683" s="3"/>
      <c r="F683" s="3"/>
      <c r="G683" s="3"/>
      <c r="H683" s="3"/>
      <c r="I683" s="3"/>
      <c r="K683" s="10"/>
      <c r="P683" s="32"/>
    </row>
    <row r="684">
      <c r="E684" s="3"/>
      <c r="F684" s="3"/>
      <c r="G684" s="3"/>
      <c r="H684" s="3"/>
      <c r="I684" s="3"/>
      <c r="K684" s="10"/>
      <c r="P684" s="32"/>
    </row>
    <row r="685">
      <c r="E685" s="3"/>
      <c r="F685" s="3"/>
      <c r="G685" s="3"/>
      <c r="H685" s="3"/>
      <c r="I685" s="3"/>
      <c r="K685" s="10"/>
      <c r="P685" s="32"/>
    </row>
    <row r="686">
      <c r="E686" s="3"/>
      <c r="F686" s="3"/>
      <c r="G686" s="3"/>
      <c r="H686" s="3"/>
      <c r="I686" s="3"/>
      <c r="K686" s="10"/>
      <c r="P686" s="32"/>
    </row>
    <row r="687">
      <c r="E687" s="3"/>
      <c r="F687" s="3"/>
      <c r="G687" s="3"/>
      <c r="H687" s="3"/>
      <c r="I687" s="3"/>
      <c r="K687" s="10"/>
      <c r="P687" s="32"/>
    </row>
    <row r="688">
      <c r="E688" s="3"/>
      <c r="F688" s="3"/>
      <c r="G688" s="3"/>
      <c r="H688" s="3"/>
      <c r="I688" s="3"/>
      <c r="K688" s="10"/>
      <c r="P688" s="32"/>
    </row>
    <row r="689">
      <c r="E689" s="3"/>
      <c r="F689" s="3"/>
      <c r="G689" s="3"/>
      <c r="H689" s="3"/>
      <c r="I689" s="3"/>
      <c r="K689" s="10"/>
      <c r="P689" s="32"/>
    </row>
    <row r="690">
      <c r="E690" s="3"/>
      <c r="F690" s="3"/>
      <c r="G690" s="3"/>
      <c r="H690" s="3"/>
      <c r="I690" s="3"/>
      <c r="K690" s="10"/>
      <c r="P690" s="32"/>
    </row>
    <row r="691">
      <c r="E691" s="3"/>
      <c r="F691" s="3"/>
      <c r="G691" s="3"/>
      <c r="H691" s="3"/>
      <c r="I691" s="3"/>
      <c r="K691" s="10"/>
      <c r="P691" s="32"/>
    </row>
    <row r="692">
      <c r="E692" s="3"/>
      <c r="F692" s="3"/>
      <c r="G692" s="3"/>
      <c r="H692" s="3"/>
      <c r="I692" s="3"/>
      <c r="K692" s="10"/>
      <c r="P692" s="32"/>
    </row>
    <row r="693">
      <c r="E693" s="3"/>
      <c r="F693" s="3"/>
      <c r="G693" s="3"/>
      <c r="H693" s="3"/>
      <c r="I693" s="3"/>
      <c r="K693" s="10"/>
      <c r="P693" s="32"/>
    </row>
    <row r="694">
      <c r="E694" s="3"/>
      <c r="F694" s="3"/>
      <c r="G694" s="3"/>
      <c r="H694" s="3"/>
      <c r="I694" s="3"/>
      <c r="K694" s="10"/>
      <c r="P694" s="32"/>
    </row>
    <row r="695">
      <c r="E695" s="3"/>
      <c r="F695" s="3"/>
      <c r="G695" s="3"/>
      <c r="H695" s="3"/>
      <c r="I695" s="3"/>
      <c r="K695" s="10"/>
      <c r="P695" s="32"/>
    </row>
    <row r="696">
      <c r="E696" s="3"/>
      <c r="F696" s="3"/>
      <c r="G696" s="3"/>
      <c r="H696" s="3"/>
      <c r="I696" s="3"/>
      <c r="K696" s="10"/>
      <c r="P696" s="32"/>
    </row>
    <row r="697">
      <c r="E697" s="3"/>
      <c r="F697" s="3"/>
      <c r="G697" s="3"/>
      <c r="H697" s="3"/>
      <c r="I697" s="3"/>
      <c r="K697" s="10"/>
      <c r="P697" s="32"/>
    </row>
    <row r="698">
      <c r="E698" s="3"/>
      <c r="F698" s="3"/>
      <c r="G698" s="3"/>
      <c r="H698" s="3"/>
      <c r="I698" s="3"/>
      <c r="K698" s="10"/>
      <c r="P698" s="32"/>
    </row>
    <row r="699">
      <c r="E699" s="3"/>
      <c r="F699" s="3"/>
      <c r="G699" s="3"/>
      <c r="H699" s="3"/>
      <c r="I699" s="3"/>
      <c r="K699" s="10"/>
      <c r="P699" s="32"/>
    </row>
    <row r="700">
      <c r="E700" s="3"/>
      <c r="F700" s="3"/>
      <c r="G700" s="3"/>
      <c r="H700" s="3"/>
      <c r="I700" s="3"/>
      <c r="K700" s="10"/>
      <c r="P700" s="32"/>
    </row>
    <row r="701">
      <c r="E701" s="3"/>
      <c r="F701" s="3"/>
      <c r="G701" s="3"/>
      <c r="H701" s="3"/>
      <c r="I701" s="3"/>
      <c r="K701" s="10"/>
      <c r="P701" s="32"/>
    </row>
    <row r="702">
      <c r="E702" s="3"/>
      <c r="F702" s="3"/>
      <c r="G702" s="3"/>
      <c r="H702" s="3"/>
      <c r="I702" s="3"/>
      <c r="K702" s="10"/>
      <c r="P702" s="32"/>
    </row>
    <row r="703">
      <c r="E703" s="3"/>
      <c r="F703" s="3"/>
      <c r="G703" s="3"/>
      <c r="H703" s="3"/>
      <c r="I703" s="3"/>
      <c r="K703" s="10"/>
      <c r="P703" s="32"/>
    </row>
    <row r="704">
      <c r="E704" s="3"/>
      <c r="F704" s="3"/>
      <c r="G704" s="3"/>
      <c r="H704" s="3"/>
      <c r="I704" s="3"/>
      <c r="K704" s="10"/>
      <c r="P704" s="32"/>
    </row>
    <row r="705">
      <c r="E705" s="3"/>
      <c r="F705" s="3"/>
      <c r="G705" s="3"/>
      <c r="H705" s="3"/>
      <c r="I705" s="3"/>
      <c r="K705" s="10"/>
      <c r="P705" s="32"/>
    </row>
    <row r="706">
      <c r="E706" s="3"/>
      <c r="F706" s="3"/>
      <c r="G706" s="3"/>
      <c r="H706" s="3"/>
      <c r="I706" s="3"/>
      <c r="K706" s="10"/>
      <c r="P706" s="32"/>
    </row>
    <row r="707">
      <c r="E707" s="3"/>
      <c r="F707" s="3"/>
      <c r="G707" s="3"/>
      <c r="H707" s="3"/>
      <c r="I707" s="3"/>
      <c r="K707" s="10"/>
      <c r="P707" s="32"/>
    </row>
    <row r="708">
      <c r="E708" s="3"/>
      <c r="F708" s="3"/>
      <c r="G708" s="3"/>
      <c r="H708" s="3"/>
      <c r="I708" s="3"/>
      <c r="K708" s="10"/>
      <c r="P708" s="32"/>
    </row>
    <row r="709">
      <c r="E709" s="3"/>
      <c r="F709" s="3"/>
      <c r="G709" s="3"/>
      <c r="H709" s="3"/>
      <c r="I709" s="3"/>
      <c r="K709" s="10"/>
      <c r="P709" s="32"/>
    </row>
    <row r="710">
      <c r="E710" s="3"/>
      <c r="F710" s="3"/>
      <c r="G710" s="3"/>
      <c r="H710" s="3"/>
      <c r="I710" s="3"/>
      <c r="K710" s="10"/>
      <c r="P710" s="32"/>
    </row>
    <row r="711">
      <c r="E711" s="3"/>
      <c r="F711" s="3"/>
      <c r="G711" s="3"/>
      <c r="H711" s="3"/>
      <c r="I711" s="3"/>
      <c r="K711" s="10"/>
      <c r="P711" s="32"/>
    </row>
    <row r="712">
      <c r="E712" s="3"/>
      <c r="F712" s="3"/>
      <c r="G712" s="3"/>
      <c r="H712" s="3"/>
      <c r="I712" s="3"/>
      <c r="K712" s="10"/>
      <c r="P712" s="32"/>
    </row>
    <row r="713">
      <c r="E713" s="3"/>
      <c r="F713" s="3"/>
      <c r="G713" s="3"/>
      <c r="H713" s="3"/>
      <c r="I713" s="3"/>
      <c r="K713" s="10"/>
      <c r="P713" s="32"/>
    </row>
    <row r="714">
      <c r="E714" s="3"/>
      <c r="F714" s="3"/>
      <c r="G714" s="3"/>
      <c r="H714" s="3"/>
      <c r="I714" s="3"/>
      <c r="K714" s="10"/>
      <c r="P714" s="32"/>
    </row>
    <row r="715">
      <c r="E715" s="3"/>
      <c r="F715" s="3"/>
      <c r="G715" s="3"/>
      <c r="H715" s="3"/>
      <c r="I715" s="3"/>
      <c r="K715" s="10"/>
      <c r="P715" s="32"/>
    </row>
    <row r="716">
      <c r="E716" s="3"/>
      <c r="F716" s="3"/>
      <c r="G716" s="3"/>
      <c r="H716" s="3"/>
      <c r="I716" s="3"/>
      <c r="K716" s="10"/>
      <c r="P716" s="32"/>
    </row>
    <row r="717">
      <c r="E717" s="3"/>
      <c r="F717" s="3"/>
      <c r="G717" s="3"/>
      <c r="H717" s="3"/>
      <c r="I717" s="3"/>
      <c r="K717" s="10"/>
      <c r="P717" s="32"/>
    </row>
    <row r="718">
      <c r="E718" s="3"/>
      <c r="F718" s="3"/>
      <c r="G718" s="3"/>
      <c r="H718" s="3"/>
      <c r="I718" s="3"/>
      <c r="K718" s="10"/>
      <c r="P718" s="32"/>
    </row>
    <row r="719">
      <c r="E719" s="3"/>
      <c r="F719" s="3"/>
      <c r="G719" s="3"/>
      <c r="H719" s="3"/>
      <c r="I719" s="3"/>
      <c r="K719" s="10"/>
      <c r="P719" s="32"/>
    </row>
    <row r="720">
      <c r="E720" s="3"/>
      <c r="F720" s="3"/>
      <c r="G720" s="3"/>
      <c r="H720" s="3"/>
      <c r="I720" s="3"/>
      <c r="K720" s="10"/>
      <c r="P720" s="32"/>
    </row>
    <row r="721">
      <c r="E721" s="3"/>
      <c r="F721" s="3"/>
      <c r="G721" s="3"/>
      <c r="H721" s="3"/>
      <c r="I721" s="3"/>
      <c r="K721" s="10"/>
      <c r="P721" s="32"/>
    </row>
    <row r="722">
      <c r="E722" s="3"/>
      <c r="F722" s="3"/>
      <c r="G722" s="3"/>
      <c r="H722" s="3"/>
      <c r="I722" s="3"/>
      <c r="K722" s="10"/>
      <c r="P722" s="32"/>
    </row>
    <row r="723">
      <c r="E723" s="3"/>
      <c r="F723" s="3"/>
      <c r="G723" s="3"/>
      <c r="H723" s="3"/>
      <c r="I723" s="3"/>
      <c r="K723" s="10"/>
      <c r="P723" s="32"/>
    </row>
    <row r="724">
      <c r="E724" s="3"/>
      <c r="F724" s="3"/>
      <c r="G724" s="3"/>
      <c r="H724" s="3"/>
      <c r="I724" s="3"/>
      <c r="K724" s="10"/>
      <c r="P724" s="32"/>
    </row>
    <row r="725">
      <c r="E725" s="3"/>
      <c r="F725" s="3"/>
      <c r="G725" s="3"/>
      <c r="H725" s="3"/>
      <c r="I725" s="3"/>
      <c r="K725" s="10"/>
      <c r="P725" s="32"/>
    </row>
    <row r="726">
      <c r="E726" s="3"/>
      <c r="F726" s="3"/>
      <c r="G726" s="3"/>
      <c r="H726" s="3"/>
      <c r="I726" s="3"/>
      <c r="K726" s="10"/>
      <c r="P726" s="32"/>
    </row>
    <row r="727">
      <c r="E727" s="3"/>
      <c r="F727" s="3"/>
      <c r="G727" s="3"/>
      <c r="H727" s="3"/>
      <c r="I727" s="3"/>
      <c r="K727" s="10"/>
      <c r="P727" s="32"/>
    </row>
    <row r="728">
      <c r="E728" s="3"/>
      <c r="F728" s="3"/>
      <c r="G728" s="3"/>
      <c r="H728" s="3"/>
      <c r="I728" s="3"/>
      <c r="K728" s="10"/>
      <c r="P728" s="32"/>
    </row>
    <row r="729">
      <c r="E729" s="3"/>
      <c r="F729" s="3"/>
      <c r="G729" s="3"/>
      <c r="H729" s="3"/>
      <c r="I729" s="3"/>
      <c r="K729" s="10"/>
      <c r="P729" s="32"/>
    </row>
    <row r="730">
      <c r="E730" s="3"/>
      <c r="F730" s="3"/>
      <c r="G730" s="3"/>
      <c r="H730" s="3"/>
      <c r="I730" s="3"/>
      <c r="K730" s="10"/>
      <c r="P730" s="32"/>
    </row>
    <row r="731">
      <c r="E731" s="3"/>
      <c r="F731" s="3"/>
      <c r="G731" s="3"/>
      <c r="H731" s="3"/>
      <c r="I731" s="3"/>
      <c r="K731" s="10"/>
      <c r="P731" s="32"/>
    </row>
    <row r="732">
      <c r="E732" s="3"/>
      <c r="F732" s="3"/>
      <c r="G732" s="3"/>
      <c r="H732" s="3"/>
      <c r="I732" s="3"/>
      <c r="K732" s="10"/>
      <c r="P732" s="32"/>
    </row>
    <row r="733">
      <c r="E733" s="3"/>
      <c r="F733" s="3"/>
      <c r="G733" s="3"/>
      <c r="H733" s="3"/>
      <c r="I733" s="3"/>
      <c r="K733" s="10"/>
      <c r="P733" s="32"/>
    </row>
    <row r="734">
      <c r="E734" s="3"/>
      <c r="F734" s="3"/>
      <c r="G734" s="3"/>
      <c r="H734" s="3"/>
      <c r="I734" s="3"/>
      <c r="K734" s="10"/>
      <c r="P734" s="32"/>
    </row>
    <row r="735">
      <c r="E735" s="3"/>
      <c r="F735" s="3"/>
      <c r="G735" s="3"/>
      <c r="H735" s="3"/>
      <c r="I735" s="3"/>
      <c r="K735" s="10"/>
      <c r="P735" s="32"/>
    </row>
    <row r="736">
      <c r="E736" s="3"/>
      <c r="F736" s="3"/>
      <c r="G736" s="3"/>
      <c r="H736" s="3"/>
      <c r="I736" s="3"/>
      <c r="K736" s="10"/>
      <c r="P736" s="32"/>
    </row>
    <row r="737">
      <c r="E737" s="3"/>
      <c r="F737" s="3"/>
      <c r="G737" s="3"/>
      <c r="H737" s="3"/>
      <c r="I737" s="3"/>
      <c r="K737" s="10"/>
      <c r="P737" s="32"/>
    </row>
    <row r="738">
      <c r="E738" s="3"/>
      <c r="F738" s="3"/>
      <c r="G738" s="3"/>
      <c r="H738" s="3"/>
      <c r="I738" s="3"/>
      <c r="K738" s="10"/>
      <c r="P738" s="32"/>
    </row>
    <row r="739">
      <c r="E739" s="3"/>
      <c r="F739" s="3"/>
      <c r="G739" s="3"/>
      <c r="H739" s="3"/>
      <c r="I739" s="3"/>
      <c r="K739" s="10"/>
      <c r="P739" s="32"/>
    </row>
    <row r="740">
      <c r="E740" s="3"/>
      <c r="F740" s="3"/>
      <c r="G740" s="3"/>
      <c r="H740" s="3"/>
      <c r="I740" s="3"/>
      <c r="K740" s="10"/>
      <c r="P740" s="32"/>
    </row>
    <row r="741">
      <c r="E741" s="3"/>
      <c r="F741" s="3"/>
      <c r="G741" s="3"/>
      <c r="H741" s="3"/>
      <c r="I741" s="3"/>
      <c r="K741" s="10"/>
      <c r="P741" s="32"/>
    </row>
    <row r="742">
      <c r="E742" s="3"/>
      <c r="F742" s="3"/>
      <c r="G742" s="3"/>
      <c r="H742" s="3"/>
      <c r="I742" s="3"/>
      <c r="K742" s="10"/>
      <c r="P742" s="32"/>
    </row>
    <row r="743">
      <c r="E743" s="3"/>
      <c r="F743" s="3"/>
      <c r="G743" s="3"/>
      <c r="H743" s="3"/>
      <c r="I743" s="3"/>
      <c r="K743" s="10"/>
      <c r="P743" s="32"/>
    </row>
    <row r="744">
      <c r="E744" s="3"/>
      <c r="F744" s="3"/>
      <c r="G744" s="3"/>
      <c r="H744" s="3"/>
      <c r="I744" s="3"/>
      <c r="K744" s="10"/>
      <c r="P744" s="32"/>
    </row>
    <row r="745">
      <c r="E745" s="3"/>
      <c r="F745" s="3"/>
      <c r="G745" s="3"/>
      <c r="H745" s="3"/>
      <c r="I745" s="3"/>
      <c r="K745" s="10"/>
      <c r="P745" s="32"/>
    </row>
    <row r="746">
      <c r="E746" s="3"/>
      <c r="F746" s="3"/>
      <c r="G746" s="3"/>
      <c r="H746" s="3"/>
      <c r="I746" s="3"/>
      <c r="K746" s="10"/>
      <c r="P746" s="32"/>
    </row>
    <row r="747">
      <c r="E747" s="3"/>
      <c r="F747" s="3"/>
      <c r="G747" s="3"/>
      <c r="H747" s="3"/>
      <c r="I747" s="3"/>
      <c r="K747" s="10"/>
      <c r="P747" s="32"/>
    </row>
    <row r="748">
      <c r="E748" s="3"/>
      <c r="F748" s="3"/>
      <c r="G748" s="3"/>
      <c r="H748" s="3"/>
      <c r="I748" s="3"/>
      <c r="K748" s="10"/>
      <c r="P748" s="32"/>
    </row>
    <row r="749">
      <c r="E749" s="3"/>
      <c r="F749" s="3"/>
      <c r="G749" s="3"/>
      <c r="H749" s="3"/>
      <c r="I749" s="3"/>
      <c r="K749" s="10"/>
      <c r="P749" s="32"/>
    </row>
    <row r="750">
      <c r="E750" s="3"/>
      <c r="F750" s="3"/>
      <c r="G750" s="3"/>
      <c r="H750" s="3"/>
      <c r="I750" s="3"/>
      <c r="K750" s="10"/>
      <c r="P750" s="32"/>
    </row>
    <row r="751">
      <c r="E751" s="3"/>
      <c r="F751" s="3"/>
      <c r="G751" s="3"/>
      <c r="H751" s="3"/>
      <c r="I751" s="3"/>
      <c r="K751" s="10"/>
      <c r="P751" s="32"/>
    </row>
    <row r="752">
      <c r="E752" s="3"/>
      <c r="F752" s="3"/>
      <c r="G752" s="3"/>
      <c r="H752" s="3"/>
      <c r="I752" s="3"/>
      <c r="K752" s="10"/>
      <c r="P752" s="32"/>
    </row>
    <row r="753">
      <c r="E753" s="3"/>
      <c r="F753" s="3"/>
      <c r="G753" s="3"/>
      <c r="H753" s="3"/>
      <c r="I753" s="3"/>
      <c r="K753" s="10"/>
      <c r="P753" s="32"/>
    </row>
    <row r="754">
      <c r="E754" s="3"/>
      <c r="F754" s="3"/>
      <c r="G754" s="3"/>
      <c r="H754" s="3"/>
      <c r="I754" s="3"/>
      <c r="K754" s="10"/>
      <c r="P754" s="32"/>
    </row>
    <row r="755">
      <c r="E755" s="3"/>
      <c r="F755" s="3"/>
      <c r="G755" s="3"/>
      <c r="H755" s="3"/>
      <c r="I755" s="3"/>
      <c r="K755" s="10"/>
      <c r="P755" s="32"/>
    </row>
    <row r="756">
      <c r="E756" s="3"/>
      <c r="F756" s="3"/>
      <c r="G756" s="3"/>
      <c r="H756" s="3"/>
      <c r="I756" s="3"/>
      <c r="K756" s="10"/>
      <c r="P756" s="32"/>
    </row>
    <row r="757">
      <c r="E757" s="3"/>
      <c r="F757" s="3"/>
      <c r="G757" s="3"/>
      <c r="H757" s="3"/>
      <c r="I757" s="3"/>
      <c r="K757" s="10"/>
      <c r="P757" s="32"/>
    </row>
    <row r="758">
      <c r="E758" s="3"/>
      <c r="F758" s="3"/>
      <c r="G758" s="3"/>
      <c r="H758" s="3"/>
      <c r="I758" s="3"/>
      <c r="K758" s="10"/>
      <c r="P758" s="32"/>
    </row>
    <row r="759">
      <c r="E759" s="3"/>
      <c r="F759" s="3"/>
      <c r="G759" s="3"/>
      <c r="H759" s="3"/>
      <c r="I759" s="3"/>
      <c r="K759" s="10"/>
      <c r="P759" s="32"/>
    </row>
    <row r="760">
      <c r="E760" s="3"/>
      <c r="F760" s="3"/>
      <c r="G760" s="3"/>
      <c r="H760" s="3"/>
      <c r="I760" s="3"/>
      <c r="K760" s="10"/>
      <c r="P760" s="32"/>
    </row>
    <row r="761">
      <c r="E761" s="3"/>
      <c r="F761" s="3"/>
      <c r="G761" s="3"/>
      <c r="H761" s="3"/>
      <c r="I761" s="3"/>
      <c r="K761" s="10"/>
      <c r="P761" s="32"/>
    </row>
    <row r="762">
      <c r="E762" s="3"/>
      <c r="F762" s="3"/>
      <c r="G762" s="3"/>
      <c r="H762" s="3"/>
      <c r="I762" s="3"/>
      <c r="K762" s="10"/>
      <c r="P762" s="32"/>
    </row>
    <row r="763">
      <c r="E763" s="3"/>
      <c r="F763" s="3"/>
      <c r="G763" s="3"/>
      <c r="H763" s="3"/>
      <c r="I763" s="3"/>
      <c r="K763" s="10"/>
      <c r="P763" s="32"/>
    </row>
    <row r="764">
      <c r="E764" s="3"/>
      <c r="F764" s="3"/>
      <c r="G764" s="3"/>
      <c r="H764" s="3"/>
      <c r="I764" s="3"/>
      <c r="K764" s="10"/>
      <c r="P764" s="32"/>
    </row>
    <row r="765">
      <c r="E765" s="3"/>
      <c r="F765" s="3"/>
      <c r="G765" s="3"/>
      <c r="H765" s="3"/>
      <c r="I765" s="3"/>
      <c r="K765" s="10"/>
      <c r="P765" s="32"/>
    </row>
    <row r="766">
      <c r="E766" s="3"/>
      <c r="F766" s="3"/>
      <c r="G766" s="3"/>
      <c r="H766" s="3"/>
      <c r="I766" s="3"/>
      <c r="K766" s="10"/>
      <c r="P766" s="32"/>
    </row>
    <row r="767">
      <c r="E767" s="3"/>
      <c r="F767" s="3"/>
      <c r="G767" s="3"/>
      <c r="H767" s="3"/>
      <c r="I767" s="3"/>
      <c r="K767" s="10"/>
      <c r="P767" s="32"/>
    </row>
    <row r="768">
      <c r="E768" s="3"/>
      <c r="F768" s="3"/>
      <c r="G768" s="3"/>
      <c r="H768" s="3"/>
      <c r="I768" s="3"/>
      <c r="K768" s="10"/>
      <c r="P768" s="32"/>
    </row>
    <row r="769">
      <c r="E769" s="3"/>
      <c r="F769" s="3"/>
      <c r="G769" s="3"/>
      <c r="H769" s="3"/>
      <c r="I769" s="3"/>
      <c r="K769" s="10"/>
      <c r="P769" s="32"/>
    </row>
    <row r="770">
      <c r="E770" s="3"/>
      <c r="F770" s="3"/>
      <c r="G770" s="3"/>
      <c r="H770" s="3"/>
      <c r="I770" s="3"/>
      <c r="K770" s="10"/>
      <c r="P770" s="32"/>
    </row>
    <row r="771">
      <c r="E771" s="3"/>
      <c r="F771" s="3"/>
      <c r="G771" s="3"/>
      <c r="H771" s="3"/>
      <c r="I771" s="3"/>
      <c r="K771" s="10"/>
      <c r="P771" s="32"/>
    </row>
    <row r="772">
      <c r="E772" s="3"/>
      <c r="F772" s="3"/>
      <c r="G772" s="3"/>
      <c r="H772" s="3"/>
      <c r="I772" s="3"/>
      <c r="K772" s="10"/>
      <c r="P772" s="32"/>
    </row>
    <row r="773">
      <c r="E773" s="3"/>
      <c r="F773" s="3"/>
      <c r="G773" s="3"/>
      <c r="H773" s="3"/>
      <c r="I773" s="3"/>
      <c r="K773" s="10"/>
      <c r="P773" s="32"/>
    </row>
    <row r="774">
      <c r="E774" s="3"/>
      <c r="F774" s="3"/>
      <c r="G774" s="3"/>
      <c r="H774" s="3"/>
      <c r="I774" s="3"/>
      <c r="K774" s="10"/>
      <c r="P774" s="32"/>
    </row>
    <row r="775">
      <c r="E775" s="3"/>
      <c r="F775" s="3"/>
      <c r="G775" s="3"/>
      <c r="H775" s="3"/>
      <c r="I775" s="3"/>
      <c r="K775" s="10"/>
      <c r="P775" s="32"/>
    </row>
    <row r="776">
      <c r="E776" s="3"/>
      <c r="F776" s="3"/>
      <c r="G776" s="3"/>
      <c r="H776" s="3"/>
      <c r="I776" s="3"/>
      <c r="K776" s="10"/>
      <c r="P776" s="32"/>
    </row>
    <row r="777">
      <c r="E777" s="3"/>
      <c r="F777" s="3"/>
      <c r="G777" s="3"/>
      <c r="H777" s="3"/>
      <c r="I777" s="3"/>
      <c r="K777" s="10"/>
      <c r="P777" s="32"/>
    </row>
    <row r="778">
      <c r="E778" s="3"/>
      <c r="F778" s="3"/>
      <c r="G778" s="3"/>
      <c r="H778" s="3"/>
      <c r="I778" s="3"/>
      <c r="K778" s="10"/>
      <c r="P778" s="32"/>
    </row>
    <row r="779">
      <c r="E779" s="3"/>
      <c r="F779" s="3"/>
      <c r="G779" s="3"/>
      <c r="H779" s="3"/>
      <c r="I779" s="3"/>
      <c r="K779" s="10"/>
      <c r="P779" s="32"/>
    </row>
    <row r="780">
      <c r="E780" s="3"/>
      <c r="F780" s="3"/>
      <c r="G780" s="3"/>
      <c r="H780" s="3"/>
      <c r="I780" s="3"/>
      <c r="K780" s="10"/>
      <c r="P780" s="32"/>
    </row>
    <row r="781">
      <c r="E781" s="3"/>
      <c r="F781" s="3"/>
      <c r="G781" s="3"/>
      <c r="H781" s="3"/>
      <c r="I781" s="3"/>
      <c r="K781" s="10"/>
      <c r="P781" s="32"/>
    </row>
    <row r="782">
      <c r="E782" s="3"/>
      <c r="F782" s="3"/>
      <c r="G782" s="3"/>
      <c r="H782" s="3"/>
      <c r="I782" s="3"/>
      <c r="K782" s="10"/>
      <c r="P782" s="32"/>
    </row>
    <row r="783">
      <c r="E783" s="3"/>
      <c r="F783" s="3"/>
      <c r="G783" s="3"/>
      <c r="H783" s="3"/>
      <c r="I783" s="3"/>
      <c r="K783" s="10"/>
      <c r="P783" s="32"/>
    </row>
    <row r="784">
      <c r="E784" s="3"/>
      <c r="F784" s="3"/>
      <c r="G784" s="3"/>
      <c r="H784" s="3"/>
      <c r="I784" s="3"/>
      <c r="K784" s="10"/>
      <c r="P784" s="32"/>
    </row>
    <row r="785">
      <c r="E785" s="3"/>
      <c r="F785" s="3"/>
      <c r="G785" s="3"/>
      <c r="H785" s="3"/>
      <c r="I785" s="3"/>
      <c r="K785" s="10"/>
      <c r="P785" s="32"/>
    </row>
    <row r="786">
      <c r="E786" s="3"/>
      <c r="F786" s="3"/>
      <c r="G786" s="3"/>
      <c r="H786" s="3"/>
      <c r="I786" s="3"/>
      <c r="K786" s="10"/>
      <c r="P786" s="32"/>
    </row>
    <row r="787">
      <c r="E787" s="3"/>
      <c r="F787" s="3"/>
      <c r="G787" s="3"/>
      <c r="H787" s="3"/>
      <c r="I787" s="3"/>
      <c r="K787" s="10"/>
      <c r="P787" s="32"/>
    </row>
    <row r="788">
      <c r="E788" s="3"/>
      <c r="F788" s="3"/>
      <c r="G788" s="3"/>
      <c r="H788" s="3"/>
      <c r="I788" s="3"/>
      <c r="K788" s="10"/>
      <c r="P788" s="32"/>
    </row>
    <row r="789">
      <c r="E789" s="3"/>
      <c r="F789" s="3"/>
      <c r="G789" s="3"/>
      <c r="H789" s="3"/>
      <c r="I789" s="3"/>
      <c r="K789" s="10"/>
      <c r="P789" s="32"/>
    </row>
    <row r="790">
      <c r="E790" s="3"/>
      <c r="F790" s="3"/>
      <c r="G790" s="3"/>
      <c r="H790" s="3"/>
      <c r="I790" s="3"/>
      <c r="K790" s="10"/>
      <c r="P790" s="32"/>
    </row>
    <row r="791">
      <c r="E791" s="3"/>
      <c r="F791" s="3"/>
      <c r="G791" s="3"/>
      <c r="H791" s="3"/>
      <c r="I791" s="3"/>
      <c r="K791" s="10"/>
      <c r="P791" s="32"/>
    </row>
    <row r="792">
      <c r="E792" s="3"/>
      <c r="F792" s="3"/>
      <c r="G792" s="3"/>
      <c r="H792" s="3"/>
      <c r="I792" s="3"/>
      <c r="K792" s="10"/>
      <c r="P792" s="32"/>
    </row>
    <row r="793">
      <c r="E793" s="3"/>
      <c r="F793" s="3"/>
      <c r="G793" s="3"/>
      <c r="H793" s="3"/>
      <c r="I793" s="3"/>
      <c r="K793" s="10"/>
      <c r="P793" s="32"/>
    </row>
    <row r="794">
      <c r="E794" s="3"/>
      <c r="F794" s="3"/>
      <c r="G794" s="3"/>
      <c r="H794" s="3"/>
      <c r="I794" s="3"/>
      <c r="K794" s="10"/>
      <c r="P794" s="32"/>
    </row>
    <row r="795">
      <c r="E795" s="3"/>
      <c r="F795" s="3"/>
      <c r="G795" s="3"/>
      <c r="H795" s="3"/>
      <c r="I795" s="3"/>
      <c r="K795" s="10"/>
      <c r="P795" s="32"/>
    </row>
    <row r="796">
      <c r="E796" s="3"/>
      <c r="F796" s="3"/>
      <c r="G796" s="3"/>
      <c r="H796" s="3"/>
      <c r="I796" s="3"/>
      <c r="K796" s="10"/>
      <c r="P796" s="32"/>
    </row>
    <row r="797">
      <c r="E797" s="3"/>
      <c r="F797" s="3"/>
      <c r="G797" s="3"/>
      <c r="H797" s="3"/>
      <c r="I797" s="3"/>
      <c r="K797" s="10"/>
      <c r="P797" s="32"/>
    </row>
    <row r="798">
      <c r="E798" s="3"/>
      <c r="F798" s="3"/>
      <c r="G798" s="3"/>
      <c r="H798" s="3"/>
      <c r="I798" s="3"/>
      <c r="K798" s="10"/>
      <c r="P798" s="32"/>
    </row>
    <row r="799">
      <c r="E799" s="3"/>
      <c r="F799" s="3"/>
      <c r="G799" s="3"/>
      <c r="H799" s="3"/>
      <c r="I799" s="3"/>
      <c r="K799" s="10"/>
      <c r="P799" s="32"/>
    </row>
    <row r="800">
      <c r="E800" s="3"/>
      <c r="F800" s="3"/>
      <c r="G800" s="3"/>
      <c r="H800" s="3"/>
      <c r="I800" s="3"/>
      <c r="K800" s="10"/>
      <c r="P800" s="32"/>
    </row>
    <row r="801">
      <c r="E801" s="3"/>
      <c r="F801" s="3"/>
      <c r="G801" s="3"/>
      <c r="H801" s="3"/>
      <c r="I801" s="3"/>
      <c r="K801" s="10"/>
      <c r="P801" s="32"/>
    </row>
    <row r="802">
      <c r="E802" s="3"/>
      <c r="F802" s="3"/>
      <c r="G802" s="3"/>
      <c r="H802" s="3"/>
      <c r="I802" s="3"/>
      <c r="K802" s="10"/>
      <c r="P802" s="32"/>
    </row>
    <row r="803">
      <c r="E803" s="3"/>
      <c r="F803" s="3"/>
      <c r="G803" s="3"/>
      <c r="H803" s="3"/>
      <c r="I803" s="3"/>
      <c r="K803" s="10"/>
      <c r="P803" s="32"/>
    </row>
    <row r="804">
      <c r="E804" s="3"/>
      <c r="F804" s="3"/>
      <c r="G804" s="3"/>
      <c r="H804" s="3"/>
      <c r="I804" s="3"/>
      <c r="K804" s="10"/>
      <c r="P804" s="32"/>
    </row>
    <row r="805">
      <c r="E805" s="3"/>
      <c r="F805" s="3"/>
      <c r="G805" s="3"/>
      <c r="H805" s="3"/>
      <c r="I805" s="3"/>
      <c r="K805" s="10"/>
      <c r="P805" s="32"/>
    </row>
    <row r="806">
      <c r="E806" s="3"/>
      <c r="F806" s="3"/>
      <c r="G806" s="3"/>
      <c r="H806" s="3"/>
      <c r="I806" s="3"/>
      <c r="K806" s="10"/>
      <c r="P806" s="32"/>
    </row>
    <row r="807">
      <c r="E807" s="3"/>
      <c r="F807" s="3"/>
      <c r="G807" s="3"/>
      <c r="H807" s="3"/>
      <c r="I807" s="3"/>
      <c r="K807" s="10"/>
      <c r="P807" s="32"/>
    </row>
    <row r="808">
      <c r="E808" s="3"/>
      <c r="F808" s="3"/>
      <c r="G808" s="3"/>
      <c r="H808" s="3"/>
      <c r="I808" s="3"/>
      <c r="K808" s="10"/>
      <c r="P808" s="32"/>
    </row>
    <row r="809">
      <c r="E809" s="3"/>
      <c r="F809" s="3"/>
      <c r="G809" s="3"/>
      <c r="H809" s="3"/>
      <c r="I809" s="3"/>
      <c r="K809" s="10"/>
      <c r="P809" s="32"/>
    </row>
    <row r="810">
      <c r="E810" s="3"/>
      <c r="F810" s="3"/>
      <c r="G810" s="3"/>
      <c r="H810" s="3"/>
      <c r="I810" s="3"/>
      <c r="K810" s="10"/>
      <c r="P810" s="32"/>
    </row>
    <row r="811">
      <c r="E811" s="3"/>
      <c r="F811" s="3"/>
      <c r="G811" s="3"/>
      <c r="H811" s="3"/>
      <c r="I811" s="3"/>
      <c r="K811" s="10"/>
      <c r="P811" s="32"/>
    </row>
    <row r="812">
      <c r="E812" s="3"/>
      <c r="F812" s="3"/>
      <c r="G812" s="3"/>
      <c r="H812" s="3"/>
      <c r="I812" s="3"/>
      <c r="K812" s="10"/>
      <c r="P812" s="32"/>
    </row>
    <row r="813">
      <c r="E813" s="3"/>
      <c r="F813" s="3"/>
      <c r="G813" s="3"/>
      <c r="H813" s="3"/>
      <c r="I813" s="3"/>
      <c r="K813" s="10"/>
      <c r="P813" s="32"/>
    </row>
    <row r="814">
      <c r="E814" s="3"/>
      <c r="F814" s="3"/>
      <c r="G814" s="3"/>
      <c r="H814" s="3"/>
      <c r="I814" s="3"/>
      <c r="K814" s="10"/>
      <c r="P814" s="32"/>
    </row>
    <row r="815">
      <c r="E815" s="3"/>
      <c r="F815" s="3"/>
      <c r="G815" s="3"/>
      <c r="H815" s="3"/>
      <c r="I815" s="3"/>
      <c r="K815" s="10"/>
      <c r="P815" s="32"/>
    </row>
    <row r="816">
      <c r="E816" s="3"/>
      <c r="F816" s="3"/>
      <c r="G816" s="3"/>
      <c r="H816" s="3"/>
      <c r="I816" s="3"/>
      <c r="K816" s="10"/>
      <c r="P816" s="32"/>
    </row>
    <row r="817">
      <c r="E817" s="3"/>
      <c r="F817" s="3"/>
      <c r="G817" s="3"/>
      <c r="H817" s="3"/>
      <c r="I817" s="3"/>
      <c r="K817" s="10"/>
      <c r="P817" s="32"/>
    </row>
    <row r="818">
      <c r="E818" s="3"/>
      <c r="F818" s="3"/>
      <c r="G818" s="3"/>
      <c r="H818" s="3"/>
      <c r="I818" s="3"/>
      <c r="K818" s="10"/>
      <c r="P818" s="32"/>
    </row>
    <row r="819">
      <c r="E819" s="3"/>
      <c r="F819" s="3"/>
      <c r="G819" s="3"/>
      <c r="H819" s="3"/>
      <c r="I819" s="3"/>
      <c r="K819" s="10"/>
      <c r="P819" s="32"/>
    </row>
    <row r="820">
      <c r="E820" s="3"/>
      <c r="F820" s="3"/>
      <c r="G820" s="3"/>
      <c r="H820" s="3"/>
      <c r="I820" s="3"/>
      <c r="K820" s="10"/>
      <c r="P820" s="32"/>
    </row>
    <row r="821">
      <c r="E821" s="3"/>
      <c r="F821" s="3"/>
      <c r="G821" s="3"/>
      <c r="H821" s="3"/>
      <c r="I821" s="3"/>
      <c r="K821" s="10"/>
      <c r="P821" s="32"/>
    </row>
    <row r="822">
      <c r="E822" s="3"/>
      <c r="F822" s="3"/>
      <c r="G822" s="3"/>
      <c r="H822" s="3"/>
      <c r="I822" s="3"/>
      <c r="K822" s="10"/>
      <c r="P822" s="32"/>
    </row>
    <row r="823">
      <c r="E823" s="3"/>
      <c r="F823" s="3"/>
      <c r="G823" s="3"/>
      <c r="H823" s="3"/>
      <c r="I823" s="3"/>
      <c r="K823" s="10"/>
      <c r="P823" s="32"/>
    </row>
    <row r="824">
      <c r="E824" s="3"/>
      <c r="F824" s="3"/>
      <c r="G824" s="3"/>
      <c r="H824" s="3"/>
      <c r="I824" s="3"/>
      <c r="K824" s="10"/>
      <c r="P824" s="32"/>
    </row>
    <row r="825">
      <c r="E825" s="3"/>
      <c r="F825" s="3"/>
      <c r="G825" s="3"/>
      <c r="H825" s="3"/>
      <c r="I825" s="3"/>
      <c r="K825" s="10"/>
      <c r="P825" s="32"/>
    </row>
    <row r="826">
      <c r="E826" s="3"/>
      <c r="F826" s="3"/>
      <c r="G826" s="3"/>
      <c r="H826" s="3"/>
      <c r="I826" s="3"/>
      <c r="K826" s="10"/>
      <c r="P826" s="32"/>
    </row>
    <row r="827">
      <c r="E827" s="3"/>
      <c r="F827" s="3"/>
      <c r="G827" s="3"/>
      <c r="H827" s="3"/>
      <c r="I827" s="3"/>
      <c r="K827" s="10"/>
      <c r="P827" s="32"/>
    </row>
    <row r="828">
      <c r="E828" s="3"/>
      <c r="F828" s="3"/>
      <c r="G828" s="3"/>
      <c r="H828" s="3"/>
      <c r="I828" s="3"/>
      <c r="K828" s="10"/>
      <c r="P828" s="32"/>
    </row>
    <row r="829">
      <c r="E829" s="3"/>
      <c r="F829" s="3"/>
      <c r="G829" s="3"/>
      <c r="H829" s="3"/>
      <c r="I829" s="3"/>
      <c r="K829" s="10"/>
      <c r="P829" s="32"/>
    </row>
    <row r="830">
      <c r="E830" s="3"/>
      <c r="F830" s="3"/>
      <c r="G830" s="3"/>
      <c r="H830" s="3"/>
      <c r="I830" s="3"/>
      <c r="K830" s="10"/>
      <c r="P830" s="32"/>
    </row>
    <row r="831">
      <c r="E831" s="3"/>
      <c r="F831" s="3"/>
      <c r="G831" s="3"/>
      <c r="H831" s="3"/>
      <c r="I831" s="3"/>
      <c r="K831" s="10"/>
      <c r="P831" s="32"/>
    </row>
    <row r="832">
      <c r="E832" s="3"/>
      <c r="F832" s="3"/>
      <c r="G832" s="3"/>
      <c r="H832" s="3"/>
      <c r="I832" s="3"/>
      <c r="K832" s="10"/>
      <c r="P832" s="32"/>
    </row>
    <row r="833">
      <c r="E833" s="3"/>
      <c r="F833" s="3"/>
      <c r="G833" s="3"/>
      <c r="H833" s="3"/>
      <c r="I833" s="3"/>
      <c r="K833" s="10"/>
      <c r="P833" s="32"/>
    </row>
    <row r="834">
      <c r="E834" s="3"/>
      <c r="F834" s="3"/>
      <c r="G834" s="3"/>
      <c r="H834" s="3"/>
      <c r="I834" s="3"/>
      <c r="K834" s="10"/>
      <c r="P834" s="32"/>
    </row>
    <row r="835">
      <c r="E835" s="3"/>
      <c r="F835" s="3"/>
      <c r="G835" s="3"/>
      <c r="H835" s="3"/>
      <c r="I835" s="3"/>
      <c r="K835" s="10"/>
      <c r="P835" s="32"/>
    </row>
    <row r="836">
      <c r="E836" s="3"/>
      <c r="F836" s="3"/>
      <c r="G836" s="3"/>
      <c r="H836" s="3"/>
      <c r="I836" s="3"/>
      <c r="K836" s="10"/>
      <c r="P836" s="32"/>
    </row>
    <row r="837">
      <c r="E837" s="3"/>
      <c r="F837" s="3"/>
      <c r="G837" s="3"/>
      <c r="H837" s="3"/>
      <c r="I837" s="3"/>
      <c r="K837" s="10"/>
      <c r="P837" s="32"/>
    </row>
    <row r="838">
      <c r="E838" s="3"/>
      <c r="F838" s="3"/>
      <c r="G838" s="3"/>
      <c r="H838" s="3"/>
      <c r="I838" s="3"/>
      <c r="K838" s="10"/>
      <c r="P838" s="32"/>
    </row>
    <row r="839">
      <c r="E839" s="3"/>
      <c r="F839" s="3"/>
      <c r="G839" s="3"/>
      <c r="H839" s="3"/>
      <c r="I839" s="3"/>
      <c r="K839" s="10"/>
      <c r="P839" s="32"/>
    </row>
    <row r="840">
      <c r="E840" s="3"/>
      <c r="F840" s="3"/>
      <c r="G840" s="3"/>
      <c r="H840" s="3"/>
      <c r="I840" s="3"/>
      <c r="K840" s="10"/>
      <c r="P840" s="32"/>
    </row>
    <row r="841">
      <c r="E841" s="3"/>
      <c r="F841" s="3"/>
      <c r="G841" s="3"/>
      <c r="H841" s="3"/>
      <c r="I841" s="3"/>
      <c r="K841" s="10"/>
      <c r="P841" s="32"/>
    </row>
    <row r="842">
      <c r="E842" s="3"/>
      <c r="F842" s="3"/>
      <c r="G842" s="3"/>
      <c r="H842" s="3"/>
      <c r="I842" s="3"/>
      <c r="K842" s="10"/>
      <c r="P842" s="32"/>
    </row>
    <row r="843">
      <c r="E843" s="3"/>
      <c r="F843" s="3"/>
      <c r="G843" s="3"/>
      <c r="H843" s="3"/>
      <c r="I843" s="3"/>
      <c r="K843" s="10"/>
      <c r="P843" s="32"/>
    </row>
    <row r="844">
      <c r="E844" s="3"/>
      <c r="F844" s="3"/>
      <c r="G844" s="3"/>
      <c r="H844" s="3"/>
      <c r="I844" s="3"/>
      <c r="K844" s="10"/>
      <c r="P844" s="32"/>
    </row>
    <row r="845">
      <c r="E845" s="3"/>
      <c r="F845" s="3"/>
      <c r="G845" s="3"/>
      <c r="H845" s="3"/>
      <c r="I845" s="3"/>
      <c r="K845" s="10"/>
      <c r="P845" s="32"/>
    </row>
    <row r="846">
      <c r="E846" s="3"/>
      <c r="F846" s="3"/>
      <c r="G846" s="3"/>
      <c r="H846" s="3"/>
      <c r="I846" s="3"/>
      <c r="K846" s="10"/>
      <c r="P846" s="32"/>
    </row>
    <row r="847">
      <c r="E847" s="3"/>
      <c r="F847" s="3"/>
      <c r="G847" s="3"/>
      <c r="H847" s="3"/>
      <c r="I847" s="3"/>
      <c r="K847" s="10"/>
      <c r="P847" s="32"/>
    </row>
    <row r="848">
      <c r="E848" s="3"/>
      <c r="F848" s="3"/>
      <c r="G848" s="3"/>
      <c r="H848" s="3"/>
      <c r="I848" s="3"/>
      <c r="K848" s="10"/>
      <c r="P848" s="32"/>
    </row>
    <row r="849">
      <c r="E849" s="3"/>
      <c r="F849" s="3"/>
      <c r="G849" s="3"/>
      <c r="H849" s="3"/>
      <c r="I849" s="3"/>
      <c r="K849" s="10"/>
      <c r="P849" s="32"/>
    </row>
    <row r="850">
      <c r="E850" s="3"/>
      <c r="F850" s="3"/>
      <c r="G850" s="3"/>
      <c r="H850" s="3"/>
      <c r="I850" s="3"/>
      <c r="K850" s="10"/>
      <c r="P850" s="32"/>
    </row>
    <row r="851">
      <c r="E851" s="3"/>
      <c r="F851" s="3"/>
      <c r="G851" s="3"/>
      <c r="H851" s="3"/>
      <c r="I851" s="3"/>
      <c r="K851" s="10"/>
      <c r="P851" s="32"/>
    </row>
    <row r="852">
      <c r="E852" s="3"/>
      <c r="F852" s="3"/>
      <c r="G852" s="3"/>
      <c r="H852" s="3"/>
      <c r="I852" s="3"/>
      <c r="K852" s="10"/>
      <c r="P852" s="32"/>
    </row>
    <row r="853">
      <c r="E853" s="3"/>
      <c r="F853" s="3"/>
      <c r="G853" s="3"/>
      <c r="H853" s="3"/>
      <c r="I853" s="3"/>
      <c r="K853" s="10"/>
      <c r="P853" s="32"/>
    </row>
    <row r="854">
      <c r="E854" s="3"/>
      <c r="F854" s="3"/>
      <c r="G854" s="3"/>
      <c r="H854" s="3"/>
      <c r="I854" s="3"/>
      <c r="K854" s="10"/>
      <c r="P854" s="32"/>
    </row>
    <row r="855">
      <c r="E855" s="3"/>
      <c r="F855" s="3"/>
      <c r="G855" s="3"/>
      <c r="H855" s="3"/>
      <c r="I855" s="3"/>
      <c r="K855" s="10"/>
      <c r="P855" s="32"/>
    </row>
    <row r="856">
      <c r="E856" s="3"/>
      <c r="F856" s="3"/>
      <c r="G856" s="3"/>
      <c r="H856" s="3"/>
      <c r="I856" s="3"/>
      <c r="K856" s="10"/>
      <c r="P856" s="32"/>
    </row>
    <row r="857">
      <c r="E857" s="3"/>
      <c r="F857" s="3"/>
      <c r="G857" s="3"/>
      <c r="H857" s="3"/>
      <c r="I857" s="3"/>
      <c r="K857" s="10"/>
      <c r="P857" s="32"/>
    </row>
    <row r="858">
      <c r="E858" s="3"/>
      <c r="F858" s="3"/>
      <c r="G858" s="3"/>
      <c r="H858" s="3"/>
      <c r="I858" s="3"/>
      <c r="K858" s="10"/>
      <c r="P858" s="32"/>
    </row>
    <row r="859">
      <c r="E859" s="3"/>
      <c r="F859" s="3"/>
      <c r="G859" s="3"/>
      <c r="H859" s="3"/>
      <c r="I859" s="3"/>
      <c r="K859" s="10"/>
      <c r="P859" s="32"/>
    </row>
    <row r="860">
      <c r="E860" s="3"/>
      <c r="F860" s="3"/>
      <c r="G860" s="3"/>
      <c r="H860" s="3"/>
      <c r="I860" s="3"/>
      <c r="K860" s="10"/>
      <c r="P860" s="32"/>
    </row>
    <row r="861">
      <c r="E861" s="3"/>
      <c r="F861" s="3"/>
      <c r="G861" s="3"/>
      <c r="H861" s="3"/>
      <c r="I861" s="3"/>
      <c r="K861" s="10"/>
      <c r="P861" s="32"/>
    </row>
    <row r="862">
      <c r="E862" s="3"/>
      <c r="F862" s="3"/>
      <c r="G862" s="3"/>
      <c r="H862" s="3"/>
      <c r="I862" s="3"/>
      <c r="K862" s="10"/>
      <c r="P862" s="32"/>
    </row>
    <row r="863">
      <c r="E863" s="3"/>
      <c r="F863" s="3"/>
      <c r="G863" s="3"/>
      <c r="H863" s="3"/>
      <c r="I863" s="3"/>
      <c r="K863" s="10"/>
      <c r="P863" s="32"/>
    </row>
    <row r="864">
      <c r="E864" s="3"/>
      <c r="F864" s="3"/>
      <c r="G864" s="3"/>
      <c r="H864" s="3"/>
      <c r="I864" s="3"/>
      <c r="K864" s="10"/>
      <c r="P864" s="32"/>
    </row>
    <row r="865">
      <c r="E865" s="3"/>
      <c r="F865" s="3"/>
      <c r="G865" s="3"/>
      <c r="H865" s="3"/>
      <c r="I865" s="3"/>
      <c r="K865" s="10"/>
      <c r="P865" s="32"/>
    </row>
    <row r="866">
      <c r="E866" s="3"/>
      <c r="F866" s="3"/>
      <c r="G866" s="3"/>
      <c r="H866" s="3"/>
      <c r="I866" s="3"/>
      <c r="K866" s="10"/>
      <c r="P866" s="32"/>
    </row>
    <row r="867">
      <c r="E867" s="3"/>
      <c r="F867" s="3"/>
      <c r="G867" s="3"/>
      <c r="H867" s="3"/>
      <c r="I867" s="3"/>
      <c r="K867" s="10"/>
      <c r="P867" s="32"/>
    </row>
    <row r="868">
      <c r="E868" s="3"/>
      <c r="F868" s="3"/>
      <c r="G868" s="3"/>
      <c r="H868" s="3"/>
      <c r="I868" s="3"/>
      <c r="K868" s="10"/>
      <c r="P868" s="32"/>
    </row>
    <row r="869">
      <c r="E869" s="3"/>
      <c r="F869" s="3"/>
      <c r="G869" s="3"/>
      <c r="H869" s="3"/>
      <c r="I869" s="3"/>
      <c r="K869" s="10"/>
      <c r="P869" s="32"/>
    </row>
    <row r="870">
      <c r="E870" s="3"/>
      <c r="F870" s="3"/>
      <c r="G870" s="3"/>
      <c r="H870" s="3"/>
      <c r="I870" s="3"/>
      <c r="K870" s="10"/>
      <c r="P870" s="32"/>
    </row>
    <row r="871">
      <c r="E871" s="3"/>
      <c r="F871" s="3"/>
      <c r="G871" s="3"/>
      <c r="H871" s="3"/>
      <c r="I871" s="3"/>
      <c r="K871" s="10"/>
      <c r="P871" s="32"/>
    </row>
    <row r="872">
      <c r="E872" s="3"/>
      <c r="F872" s="3"/>
      <c r="G872" s="3"/>
      <c r="H872" s="3"/>
      <c r="I872" s="3"/>
      <c r="K872" s="10"/>
      <c r="P872" s="32"/>
    </row>
    <row r="873">
      <c r="E873" s="3"/>
      <c r="F873" s="3"/>
      <c r="G873" s="3"/>
      <c r="H873" s="3"/>
      <c r="I873" s="3"/>
      <c r="K873" s="10"/>
      <c r="P873" s="32"/>
    </row>
    <row r="874">
      <c r="E874" s="3"/>
      <c r="F874" s="3"/>
      <c r="G874" s="3"/>
      <c r="H874" s="3"/>
      <c r="I874" s="3"/>
      <c r="K874" s="10"/>
      <c r="P874" s="32"/>
    </row>
    <row r="875">
      <c r="E875" s="3"/>
      <c r="F875" s="3"/>
      <c r="G875" s="3"/>
      <c r="H875" s="3"/>
      <c r="I875" s="3"/>
      <c r="K875" s="10"/>
      <c r="P875" s="32"/>
    </row>
    <row r="876">
      <c r="E876" s="3"/>
      <c r="F876" s="3"/>
      <c r="G876" s="3"/>
      <c r="H876" s="3"/>
      <c r="I876" s="3"/>
      <c r="K876" s="10"/>
      <c r="P876" s="32"/>
    </row>
    <row r="877">
      <c r="E877" s="3"/>
      <c r="F877" s="3"/>
      <c r="G877" s="3"/>
      <c r="H877" s="3"/>
      <c r="I877" s="3"/>
      <c r="K877" s="10"/>
      <c r="P877" s="32"/>
    </row>
    <row r="878">
      <c r="E878" s="3"/>
      <c r="F878" s="3"/>
      <c r="G878" s="3"/>
      <c r="H878" s="3"/>
      <c r="I878" s="3"/>
      <c r="K878" s="10"/>
      <c r="P878" s="32"/>
    </row>
    <row r="879">
      <c r="E879" s="3"/>
      <c r="F879" s="3"/>
      <c r="G879" s="3"/>
      <c r="H879" s="3"/>
      <c r="I879" s="3"/>
      <c r="K879" s="10"/>
      <c r="P879" s="32"/>
    </row>
    <row r="880">
      <c r="E880" s="3"/>
      <c r="F880" s="3"/>
      <c r="G880" s="3"/>
      <c r="H880" s="3"/>
      <c r="I880" s="3"/>
      <c r="K880" s="10"/>
      <c r="P880" s="32"/>
    </row>
    <row r="881">
      <c r="E881" s="3"/>
      <c r="F881" s="3"/>
      <c r="G881" s="3"/>
      <c r="H881" s="3"/>
      <c r="I881" s="3"/>
      <c r="K881" s="10"/>
      <c r="P881" s="32"/>
    </row>
    <row r="882">
      <c r="E882" s="3"/>
      <c r="F882" s="3"/>
      <c r="G882" s="3"/>
      <c r="H882" s="3"/>
      <c r="I882" s="3"/>
      <c r="K882" s="10"/>
      <c r="P882" s="32"/>
    </row>
    <row r="883">
      <c r="E883" s="3"/>
      <c r="F883" s="3"/>
      <c r="G883" s="3"/>
      <c r="H883" s="3"/>
      <c r="I883" s="3"/>
      <c r="K883" s="10"/>
      <c r="P883" s="32"/>
    </row>
    <row r="884">
      <c r="E884" s="3"/>
      <c r="F884" s="3"/>
      <c r="G884" s="3"/>
      <c r="H884" s="3"/>
      <c r="I884" s="3"/>
      <c r="K884" s="10"/>
      <c r="P884" s="32"/>
    </row>
    <row r="885">
      <c r="E885" s="3"/>
      <c r="F885" s="3"/>
      <c r="G885" s="3"/>
      <c r="H885" s="3"/>
      <c r="I885" s="3"/>
      <c r="K885" s="10"/>
      <c r="P885" s="32"/>
    </row>
    <row r="886">
      <c r="E886" s="3"/>
      <c r="F886" s="3"/>
      <c r="G886" s="3"/>
      <c r="H886" s="3"/>
      <c r="I886" s="3"/>
      <c r="K886" s="10"/>
      <c r="P886" s="32"/>
    </row>
    <row r="887">
      <c r="E887" s="3"/>
      <c r="F887" s="3"/>
      <c r="G887" s="3"/>
      <c r="H887" s="3"/>
      <c r="I887" s="3"/>
      <c r="K887" s="10"/>
      <c r="P887" s="32"/>
    </row>
    <row r="888">
      <c r="E888" s="3"/>
      <c r="F888" s="3"/>
      <c r="G888" s="3"/>
      <c r="H888" s="3"/>
      <c r="I888" s="3"/>
      <c r="K888" s="10"/>
      <c r="P888" s="32"/>
    </row>
    <row r="889">
      <c r="E889" s="3"/>
      <c r="F889" s="3"/>
      <c r="G889" s="3"/>
      <c r="H889" s="3"/>
      <c r="I889" s="3"/>
      <c r="K889" s="10"/>
      <c r="P889" s="32"/>
    </row>
    <row r="890">
      <c r="E890" s="3"/>
      <c r="F890" s="3"/>
      <c r="G890" s="3"/>
      <c r="H890" s="3"/>
      <c r="I890" s="3"/>
      <c r="K890" s="10"/>
      <c r="P890" s="32"/>
    </row>
    <row r="891">
      <c r="E891" s="3"/>
      <c r="F891" s="3"/>
      <c r="G891" s="3"/>
      <c r="H891" s="3"/>
      <c r="I891" s="3"/>
      <c r="K891" s="10"/>
      <c r="P891" s="32"/>
    </row>
    <row r="892">
      <c r="E892" s="3"/>
      <c r="F892" s="3"/>
      <c r="G892" s="3"/>
      <c r="H892" s="3"/>
      <c r="I892" s="3"/>
      <c r="K892" s="10"/>
      <c r="P892" s="32"/>
    </row>
    <row r="893">
      <c r="E893" s="3"/>
      <c r="F893" s="3"/>
      <c r="G893" s="3"/>
      <c r="H893" s="3"/>
      <c r="I893" s="3"/>
      <c r="K893" s="10"/>
      <c r="P893" s="32"/>
    </row>
    <row r="894">
      <c r="E894" s="3"/>
      <c r="F894" s="3"/>
      <c r="G894" s="3"/>
      <c r="H894" s="3"/>
      <c r="I894" s="3"/>
      <c r="K894" s="10"/>
      <c r="P894" s="32"/>
    </row>
    <row r="895">
      <c r="E895" s="3"/>
      <c r="F895" s="3"/>
      <c r="G895" s="3"/>
      <c r="H895" s="3"/>
      <c r="I895" s="3"/>
      <c r="K895" s="10"/>
      <c r="P895" s="32"/>
    </row>
    <row r="896">
      <c r="E896" s="3"/>
      <c r="F896" s="3"/>
      <c r="G896" s="3"/>
      <c r="H896" s="3"/>
      <c r="I896" s="3"/>
      <c r="K896" s="10"/>
      <c r="P896" s="32"/>
    </row>
    <row r="897">
      <c r="E897" s="3"/>
      <c r="F897" s="3"/>
      <c r="G897" s="3"/>
      <c r="H897" s="3"/>
      <c r="I897" s="3"/>
      <c r="K897" s="10"/>
      <c r="P897" s="32"/>
    </row>
    <row r="898">
      <c r="E898" s="3"/>
      <c r="F898" s="3"/>
      <c r="G898" s="3"/>
      <c r="H898" s="3"/>
      <c r="I898" s="3"/>
      <c r="K898" s="10"/>
      <c r="P898" s="32"/>
    </row>
    <row r="899">
      <c r="E899" s="3"/>
      <c r="F899" s="3"/>
      <c r="G899" s="3"/>
      <c r="H899" s="3"/>
      <c r="I899" s="3"/>
      <c r="K899" s="10"/>
      <c r="P899" s="32"/>
    </row>
    <row r="900">
      <c r="E900" s="3"/>
      <c r="F900" s="3"/>
      <c r="G900" s="3"/>
      <c r="H900" s="3"/>
      <c r="I900" s="3"/>
      <c r="K900" s="10"/>
      <c r="P900" s="32"/>
    </row>
    <row r="901">
      <c r="E901" s="3"/>
      <c r="F901" s="3"/>
      <c r="G901" s="3"/>
      <c r="H901" s="3"/>
      <c r="I901" s="3"/>
      <c r="K901" s="10"/>
      <c r="P901" s="32"/>
    </row>
    <row r="902">
      <c r="E902" s="3"/>
      <c r="F902" s="3"/>
      <c r="G902" s="3"/>
      <c r="H902" s="3"/>
      <c r="I902" s="3"/>
      <c r="K902" s="10"/>
      <c r="P902" s="32"/>
    </row>
    <row r="903">
      <c r="E903" s="3"/>
      <c r="F903" s="3"/>
      <c r="G903" s="3"/>
      <c r="H903" s="3"/>
      <c r="I903" s="3"/>
      <c r="K903" s="10"/>
      <c r="P903" s="32"/>
    </row>
    <row r="904">
      <c r="E904" s="3"/>
      <c r="F904" s="3"/>
      <c r="G904" s="3"/>
      <c r="H904" s="3"/>
      <c r="I904" s="3"/>
      <c r="K904" s="10"/>
      <c r="P904" s="32"/>
    </row>
    <row r="905">
      <c r="E905" s="3"/>
      <c r="F905" s="3"/>
      <c r="G905" s="3"/>
      <c r="H905" s="3"/>
      <c r="I905" s="3"/>
      <c r="K905" s="10"/>
      <c r="P905" s="32"/>
    </row>
    <row r="906">
      <c r="E906" s="3"/>
      <c r="F906" s="3"/>
      <c r="G906" s="3"/>
      <c r="H906" s="3"/>
      <c r="I906" s="3"/>
      <c r="K906" s="10"/>
      <c r="P906" s="32"/>
    </row>
    <row r="907">
      <c r="E907" s="3"/>
      <c r="F907" s="3"/>
      <c r="G907" s="3"/>
      <c r="H907" s="3"/>
      <c r="I907" s="3"/>
      <c r="K907" s="10"/>
      <c r="P907" s="32"/>
    </row>
    <row r="908">
      <c r="E908" s="3"/>
      <c r="F908" s="3"/>
      <c r="G908" s="3"/>
      <c r="H908" s="3"/>
      <c r="I908" s="3"/>
      <c r="K908" s="10"/>
      <c r="P908" s="32"/>
    </row>
    <row r="909">
      <c r="E909" s="3"/>
      <c r="F909" s="3"/>
      <c r="G909" s="3"/>
      <c r="H909" s="3"/>
      <c r="I909" s="3"/>
      <c r="K909" s="10"/>
      <c r="P909" s="32"/>
    </row>
    <row r="910">
      <c r="E910" s="3"/>
      <c r="F910" s="3"/>
      <c r="G910" s="3"/>
      <c r="H910" s="3"/>
      <c r="I910" s="3"/>
      <c r="K910" s="10"/>
      <c r="P910" s="32"/>
    </row>
    <row r="911">
      <c r="E911" s="3"/>
      <c r="F911" s="3"/>
      <c r="G911" s="3"/>
      <c r="H911" s="3"/>
      <c r="I911" s="3"/>
      <c r="K911" s="10"/>
      <c r="P911" s="32"/>
    </row>
    <row r="912">
      <c r="E912" s="3"/>
      <c r="F912" s="3"/>
      <c r="G912" s="3"/>
      <c r="H912" s="3"/>
      <c r="I912" s="3"/>
      <c r="K912" s="10"/>
      <c r="P912" s="32"/>
    </row>
    <row r="913">
      <c r="E913" s="3"/>
      <c r="F913" s="3"/>
      <c r="G913" s="3"/>
      <c r="H913" s="3"/>
      <c r="I913" s="3"/>
      <c r="K913" s="10"/>
      <c r="P913" s="32"/>
    </row>
    <row r="914">
      <c r="E914" s="3"/>
      <c r="F914" s="3"/>
      <c r="G914" s="3"/>
      <c r="H914" s="3"/>
      <c r="I914" s="3"/>
      <c r="K914" s="10"/>
      <c r="P914" s="32"/>
    </row>
    <row r="915">
      <c r="E915" s="3"/>
      <c r="F915" s="3"/>
      <c r="G915" s="3"/>
      <c r="H915" s="3"/>
      <c r="I915" s="3"/>
      <c r="K915" s="10"/>
      <c r="P915" s="32"/>
    </row>
    <row r="916">
      <c r="E916" s="3"/>
      <c r="F916" s="3"/>
      <c r="G916" s="3"/>
      <c r="H916" s="3"/>
      <c r="I916" s="3"/>
      <c r="K916" s="10"/>
      <c r="P916" s="32"/>
    </row>
    <row r="917">
      <c r="E917" s="3"/>
      <c r="F917" s="3"/>
      <c r="G917" s="3"/>
      <c r="H917" s="3"/>
      <c r="I917" s="3"/>
      <c r="K917" s="10"/>
      <c r="P917" s="32"/>
    </row>
    <row r="918">
      <c r="E918" s="3"/>
      <c r="F918" s="3"/>
      <c r="G918" s="3"/>
      <c r="H918" s="3"/>
      <c r="I918" s="3"/>
      <c r="K918" s="10"/>
      <c r="P918" s="32"/>
    </row>
    <row r="919">
      <c r="E919" s="3"/>
      <c r="F919" s="3"/>
      <c r="G919" s="3"/>
      <c r="H919" s="3"/>
      <c r="I919" s="3"/>
      <c r="K919" s="10"/>
      <c r="P919" s="32"/>
    </row>
    <row r="920">
      <c r="E920" s="3"/>
      <c r="F920" s="3"/>
      <c r="G920" s="3"/>
      <c r="H920" s="3"/>
      <c r="I920" s="3"/>
      <c r="K920" s="10"/>
      <c r="P920" s="32"/>
    </row>
    <row r="921">
      <c r="E921" s="3"/>
      <c r="F921" s="3"/>
      <c r="G921" s="3"/>
      <c r="H921" s="3"/>
      <c r="I921" s="3"/>
      <c r="K921" s="10"/>
      <c r="P921" s="32"/>
    </row>
    <row r="922">
      <c r="E922" s="3"/>
      <c r="F922" s="3"/>
      <c r="G922" s="3"/>
      <c r="H922" s="3"/>
      <c r="I922" s="3"/>
      <c r="K922" s="10"/>
      <c r="P922" s="32"/>
    </row>
    <row r="923">
      <c r="E923" s="3"/>
      <c r="F923" s="3"/>
      <c r="G923" s="3"/>
      <c r="H923" s="3"/>
      <c r="I923" s="3"/>
      <c r="K923" s="10"/>
      <c r="P923" s="32"/>
    </row>
    <row r="924">
      <c r="E924" s="3"/>
      <c r="F924" s="3"/>
      <c r="G924" s="3"/>
      <c r="H924" s="3"/>
      <c r="I924" s="3"/>
      <c r="K924" s="10"/>
      <c r="P924" s="32"/>
    </row>
    <row r="925">
      <c r="E925" s="3"/>
      <c r="F925" s="3"/>
      <c r="G925" s="3"/>
      <c r="H925" s="3"/>
      <c r="I925" s="3"/>
      <c r="K925" s="10"/>
      <c r="P925" s="32"/>
    </row>
    <row r="926">
      <c r="E926" s="3"/>
      <c r="F926" s="3"/>
      <c r="G926" s="3"/>
      <c r="H926" s="3"/>
      <c r="I926" s="3"/>
      <c r="K926" s="10"/>
      <c r="P926" s="32"/>
    </row>
    <row r="927">
      <c r="E927" s="3"/>
      <c r="F927" s="3"/>
      <c r="G927" s="3"/>
      <c r="H927" s="3"/>
      <c r="I927" s="3"/>
      <c r="K927" s="10"/>
      <c r="P927" s="32"/>
    </row>
    <row r="928">
      <c r="E928" s="3"/>
      <c r="F928" s="3"/>
      <c r="G928" s="3"/>
      <c r="H928" s="3"/>
      <c r="I928" s="3"/>
      <c r="K928" s="10"/>
      <c r="P928" s="32"/>
    </row>
    <row r="929">
      <c r="E929" s="3"/>
      <c r="F929" s="3"/>
      <c r="G929" s="3"/>
      <c r="H929" s="3"/>
      <c r="I929" s="3"/>
      <c r="K929" s="10"/>
      <c r="P929" s="32"/>
    </row>
    <row r="930">
      <c r="E930" s="3"/>
      <c r="F930" s="3"/>
      <c r="G930" s="3"/>
      <c r="H930" s="3"/>
      <c r="I930" s="3"/>
      <c r="K930" s="10"/>
      <c r="P930" s="32"/>
    </row>
    <row r="931">
      <c r="E931" s="3"/>
      <c r="F931" s="3"/>
      <c r="G931" s="3"/>
      <c r="H931" s="3"/>
      <c r="I931" s="3"/>
      <c r="K931" s="10"/>
      <c r="P931" s="32"/>
    </row>
    <row r="932">
      <c r="E932" s="3"/>
      <c r="F932" s="3"/>
      <c r="G932" s="3"/>
      <c r="H932" s="3"/>
      <c r="I932" s="3"/>
      <c r="K932" s="10"/>
      <c r="P932" s="32"/>
    </row>
    <row r="933">
      <c r="E933" s="3"/>
      <c r="F933" s="3"/>
      <c r="G933" s="3"/>
      <c r="H933" s="3"/>
      <c r="I933" s="3"/>
      <c r="K933" s="10"/>
      <c r="P933" s="32"/>
    </row>
    <row r="934">
      <c r="E934" s="3"/>
      <c r="F934" s="3"/>
      <c r="G934" s="3"/>
      <c r="H934" s="3"/>
      <c r="I934" s="3"/>
      <c r="K934" s="10"/>
      <c r="P934" s="32"/>
    </row>
    <row r="935">
      <c r="E935" s="3"/>
      <c r="F935" s="3"/>
      <c r="G935" s="3"/>
      <c r="H935" s="3"/>
      <c r="I935" s="3"/>
      <c r="K935" s="10"/>
      <c r="P935" s="32"/>
    </row>
    <row r="936">
      <c r="E936" s="3"/>
      <c r="F936" s="3"/>
      <c r="G936" s="3"/>
      <c r="H936" s="3"/>
      <c r="I936" s="3"/>
      <c r="K936" s="10"/>
      <c r="P936" s="32"/>
    </row>
    <row r="937">
      <c r="E937" s="3"/>
      <c r="F937" s="3"/>
      <c r="G937" s="3"/>
      <c r="H937" s="3"/>
      <c r="I937" s="3"/>
      <c r="K937" s="10"/>
      <c r="P937" s="32"/>
    </row>
    <row r="938">
      <c r="E938" s="3"/>
      <c r="F938" s="3"/>
      <c r="G938" s="3"/>
      <c r="H938" s="3"/>
      <c r="I938" s="3"/>
      <c r="K938" s="10"/>
      <c r="P938" s="32"/>
    </row>
    <row r="939">
      <c r="E939" s="3"/>
      <c r="F939" s="3"/>
      <c r="G939" s="3"/>
      <c r="H939" s="3"/>
      <c r="I939" s="3"/>
      <c r="K939" s="10"/>
      <c r="P939" s="32"/>
    </row>
    <row r="940">
      <c r="E940" s="3"/>
      <c r="F940" s="3"/>
      <c r="G940" s="3"/>
      <c r="H940" s="3"/>
      <c r="I940" s="3"/>
      <c r="K940" s="10"/>
      <c r="P940" s="32"/>
    </row>
    <row r="941">
      <c r="E941" s="3"/>
      <c r="F941" s="3"/>
      <c r="G941" s="3"/>
      <c r="H941" s="3"/>
      <c r="I941" s="3"/>
      <c r="K941" s="10"/>
      <c r="P941" s="32"/>
    </row>
    <row r="942">
      <c r="E942" s="3"/>
      <c r="F942" s="3"/>
      <c r="G942" s="3"/>
      <c r="H942" s="3"/>
      <c r="I942" s="3"/>
      <c r="K942" s="10"/>
      <c r="P942" s="32"/>
    </row>
    <row r="943">
      <c r="E943" s="3"/>
      <c r="F943" s="3"/>
      <c r="G943" s="3"/>
      <c r="H943" s="3"/>
      <c r="I943" s="3"/>
      <c r="K943" s="10"/>
      <c r="P943" s="32"/>
    </row>
    <row r="944">
      <c r="E944" s="3"/>
      <c r="F944" s="3"/>
      <c r="G944" s="3"/>
      <c r="H944" s="3"/>
      <c r="I944" s="3"/>
      <c r="K944" s="10"/>
      <c r="P944" s="32"/>
    </row>
    <row r="945">
      <c r="E945" s="3"/>
      <c r="F945" s="3"/>
      <c r="G945" s="3"/>
      <c r="H945" s="3"/>
      <c r="I945" s="3"/>
      <c r="K945" s="10"/>
      <c r="P945" s="32"/>
    </row>
    <row r="946">
      <c r="E946" s="3"/>
      <c r="F946" s="3"/>
      <c r="G946" s="3"/>
      <c r="H946" s="3"/>
      <c r="I946" s="3"/>
      <c r="K946" s="10"/>
      <c r="P946" s="32"/>
    </row>
    <row r="947">
      <c r="E947" s="3"/>
      <c r="F947" s="3"/>
      <c r="G947" s="3"/>
      <c r="H947" s="3"/>
      <c r="I947" s="3"/>
      <c r="K947" s="10"/>
      <c r="P947" s="32"/>
    </row>
    <row r="948">
      <c r="E948" s="3"/>
      <c r="F948" s="3"/>
      <c r="G948" s="3"/>
      <c r="H948" s="3"/>
      <c r="I948" s="3"/>
      <c r="K948" s="10"/>
      <c r="P948" s="32"/>
    </row>
    <row r="949">
      <c r="E949" s="3"/>
      <c r="F949" s="3"/>
      <c r="G949" s="3"/>
      <c r="H949" s="3"/>
      <c r="I949" s="3"/>
      <c r="K949" s="10"/>
      <c r="P949" s="32"/>
    </row>
    <row r="950">
      <c r="E950" s="3"/>
      <c r="F950" s="3"/>
      <c r="G950" s="3"/>
      <c r="H950" s="3"/>
      <c r="I950" s="3"/>
      <c r="K950" s="10"/>
      <c r="P950" s="32"/>
    </row>
    <row r="951">
      <c r="E951" s="3"/>
      <c r="F951" s="3"/>
      <c r="G951" s="3"/>
      <c r="H951" s="3"/>
      <c r="I951" s="3"/>
      <c r="K951" s="10"/>
      <c r="P951" s="32"/>
    </row>
    <row r="952">
      <c r="E952" s="3"/>
      <c r="F952" s="3"/>
      <c r="G952" s="3"/>
      <c r="H952" s="3"/>
      <c r="I952" s="3"/>
      <c r="K952" s="10"/>
      <c r="P952" s="32"/>
    </row>
    <row r="953">
      <c r="E953" s="3"/>
      <c r="F953" s="3"/>
      <c r="G953" s="3"/>
      <c r="H953" s="3"/>
      <c r="I953" s="3"/>
      <c r="K953" s="10"/>
      <c r="P953" s="32"/>
    </row>
    <row r="954">
      <c r="E954" s="3"/>
      <c r="F954" s="3"/>
      <c r="G954" s="3"/>
      <c r="H954" s="3"/>
      <c r="I954" s="3"/>
      <c r="K954" s="10"/>
      <c r="P954" s="32"/>
    </row>
    <row r="955">
      <c r="E955" s="3"/>
      <c r="F955" s="3"/>
      <c r="G955" s="3"/>
      <c r="H955" s="3"/>
      <c r="I955" s="3"/>
      <c r="K955" s="10"/>
      <c r="P955" s="32"/>
    </row>
    <row r="956">
      <c r="E956" s="3"/>
      <c r="F956" s="3"/>
      <c r="G956" s="3"/>
      <c r="H956" s="3"/>
      <c r="I956" s="3"/>
      <c r="K956" s="10"/>
      <c r="P956" s="32"/>
    </row>
    <row r="957">
      <c r="E957" s="3"/>
      <c r="F957" s="3"/>
      <c r="G957" s="3"/>
      <c r="H957" s="3"/>
      <c r="I957" s="3"/>
      <c r="K957" s="10"/>
      <c r="P957" s="32"/>
    </row>
    <row r="958">
      <c r="E958" s="3"/>
      <c r="F958" s="3"/>
      <c r="G958" s="3"/>
      <c r="H958" s="3"/>
      <c r="I958" s="3"/>
      <c r="K958" s="10"/>
      <c r="P958" s="32"/>
    </row>
    <row r="959">
      <c r="E959" s="3"/>
      <c r="F959" s="3"/>
      <c r="G959" s="3"/>
      <c r="H959" s="3"/>
      <c r="I959" s="3"/>
      <c r="K959" s="10"/>
      <c r="P959" s="32"/>
    </row>
    <row r="960">
      <c r="E960" s="3"/>
      <c r="F960" s="3"/>
      <c r="G960" s="3"/>
      <c r="H960" s="3"/>
      <c r="I960" s="3"/>
      <c r="K960" s="10"/>
      <c r="P960" s="32"/>
    </row>
    <row r="961">
      <c r="E961" s="3"/>
      <c r="F961" s="3"/>
      <c r="G961" s="3"/>
      <c r="H961" s="3"/>
      <c r="I961" s="3"/>
      <c r="K961" s="10"/>
      <c r="P961" s="32"/>
    </row>
    <row r="962">
      <c r="E962" s="3"/>
      <c r="F962" s="3"/>
      <c r="G962" s="3"/>
      <c r="H962" s="3"/>
      <c r="I962" s="3"/>
      <c r="K962" s="10"/>
      <c r="P962" s="32"/>
    </row>
    <row r="963">
      <c r="E963" s="3"/>
      <c r="F963" s="3"/>
      <c r="G963" s="3"/>
      <c r="H963" s="3"/>
      <c r="I963" s="3"/>
      <c r="K963" s="10"/>
      <c r="P963" s="32"/>
    </row>
    <row r="964">
      <c r="E964" s="3"/>
      <c r="F964" s="3"/>
      <c r="G964" s="3"/>
      <c r="H964" s="3"/>
      <c r="I964" s="3"/>
      <c r="K964" s="10"/>
      <c r="P964" s="32"/>
    </row>
    <row r="965">
      <c r="E965" s="3"/>
      <c r="F965" s="3"/>
      <c r="G965" s="3"/>
      <c r="H965" s="3"/>
      <c r="I965" s="3"/>
      <c r="K965" s="10"/>
      <c r="P965" s="32"/>
    </row>
    <row r="966">
      <c r="E966" s="3"/>
      <c r="F966" s="3"/>
      <c r="G966" s="3"/>
      <c r="H966" s="3"/>
      <c r="I966" s="3"/>
      <c r="K966" s="10"/>
      <c r="P966" s="32"/>
    </row>
    <row r="967">
      <c r="E967" s="3"/>
      <c r="F967" s="3"/>
      <c r="G967" s="3"/>
      <c r="H967" s="3"/>
      <c r="I967" s="3"/>
      <c r="K967" s="10"/>
      <c r="P967" s="32"/>
    </row>
    <row r="968">
      <c r="E968" s="3"/>
      <c r="F968" s="3"/>
      <c r="G968" s="3"/>
      <c r="H968" s="3"/>
      <c r="I968" s="3"/>
      <c r="K968" s="10"/>
      <c r="P968" s="32"/>
    </row>
    <row r="969">
      <c r="E969" s="3"/>
      <c r="F969" s="3"/>
      <c r="G969" s="3"/>
      <c r="H969" s="3"/>
      <c r="I969" s="3"/>
      <c r="K969" s="10"/>
      <c r="P969" s="32"/>
    </row>
    <row r="970">
      <c r="E970" s="3"/>
      <c r="F970" s="3"/>
      <c r="G970" s="3"/>
      <c r="H970" s="3"/>
      <c r="I970" s="3"/>
      <c r="K970" s="10"/>
      <c r="P970" s="32"/>
    </row>
    <row r="971">
      <c r="E971" s="3"/>
      <c r="F971" s="3"/>
      <c r="G971" s="3"/>
      <c r="H971" s="3"/>
      <c r="I971" s="3"/>
      <c r="K971" s="10"/>
      <c r="P971" s="32"/>
    </row>
    <row r="972">
      <c r="E972" s="3"/>
      <c r="F972" s="3"/>
      <c r="G972" s="3"/>
      <c r="H972" s="3"/>
      <c r="I972" s="3"/>
      <c r="K972" s="10"/>
      <c r="P972" s="32"/>
    </row>
    <row r="973">
      <c r="E973" s="3"/>
      <c r="F973" s="3"/>
      <c r="G973" s="3"/>
      <c r="H973" s="3"/>
      <c r="I973" s="3"/>
      <c r="K973" s="10"/>
      <c r="P973" s="32"/>
    </row>
    <row r="974">
      <c r="E974" s="3"/>
      <c r="F974" s="3"/>
      <c r="G974" s="3"/>
      <c r="H974" s="3"/>
      <c r="I974" s="3"/>
      <c r="K974" s="10"/>
      <c r="P974" s="32"/>
    </row>
    <row r="975">
      <c r="E975" s="3"/>
      <c r="F975" s="3"/>
      <c r="G975" s="3"/>
      <c r="H975" s="3"/>
      <c r="I975" s="3"/>
      <c r="K975" s="10"/>
      <c r="P975" s="32"/>
    </row>
    <row r="976">
      <c r="E976" s="3"/>
      <c r="F976" s="3"/>
      <c r="G976" s="3"/>
      <c r="H976" s="3"/>
      <c r="I976" s="3"/>
      <c r="K976" s="10"/>
      <c r="P976" s="32"/>
    </row>
    <row r="977">
      <c r="E977" s="3"/>
      <c r="F977" s="3"/>
      <c r="G977" s="3"/>
      <c r="H977" s="3"/>
      <c r="I977" s="3"/>
      <c r="K977" s="10"/>
      <c r="P977" s="32"/>
    </row>
    <row r="978">
      <c r="E978" s="3"/>
      <c r="F978" s="3"/>
      <c r="G978" s="3"/>
      <c r="H978" s="3"/>
      <c r="I978" s="3"/>
      <c r="K978" s="10"/>
      <c r="P978" s="32"/>
    </row>
    <row r="979">
      <c r="E979" s="3"/>
      <c r="F979" s="3"/>
      <c r="G979" s="3"/>
      <c r="H979" s="3"/>
      <c r="I979" s="3"/>
      <c r="K979" s="10"/>
      <c r="P979" s="32"/>
    </row>
    <row r="980">
      <c r="E980" s="3"/>
      <c r="F980" s="3"/>
      <c r="G980" s="3"/>
      <c r="H980" s="3"/>
      <c r="I980" s="3"/>
      <c r="K980" s="10"/>
      <c r="P980" s="32"/>
    </row>
    <row r="981">
      <c r="E981" s="3"/>
      <c r="F981" s="3"/>
      <c r="G981" s="3"/>
      <c r="H981" s="3"/>
      <c r="I981" s="3"/>
      <c r="K981" s="10"/>
      <c r="P981" s="32"/>
    </row>
    <row r="982">
      <c r="E982" s="3"/>
      <c r="F982" s="3"/>
      <c r="G982" s="3"/>
      <c r="H982" s="3"/>
      <c r="I982" s="3"/>
      <c r="K982" s="10"/>
      <c r="P982" s="32"/>
    </row>
    <row r="983">
      <c r="E983" s="3"/>
      <c r="F983" s="3"/>
      <c r="G983" s="3"/>
      <c r="H983" s="3"/>
      <c r="I983" s="3"/>
      <c r="K983" s="10"/>
      <c r="P983" s="32"/>
    </row>
    <row r="984">
      <c r="E984" s="3"/>
      <c r="F984" s="3"/>
      <c r="G984" s="3"/>
      <c r="H984" s="3"/>
      <c r="I984" s="3"/>
      <c r="K984" s="10"/>
      <c r="P984" s="32"/>
    </row>
    <row r="985">
      <c r="E985" s="3"/>
      <c r="F985" s="3"/>
      <c r="G985" s="3"/>
      <c r="H985" s="3"/>
      <c r="I985" s="3"/>
      <c r="K985" s="10"/>
      <c r="P985" s="32"/>
    </row>
    <row r="986">
      <c r="E986" s="3"/>
      <c r="F986" s="3"/>
      <c r="G986" s="3"/>
      <c r="H986" s="3"/>
      <c r="I986" s="3"/>
      <c r="K986" s="10"/>
      <c r="P986" s="32"/>
    </row>
    <row r="987">
      <c r="E987" s="3"/>
      <c r="F987" s="3"/>
      <c r="G987" s="3"/>
      <c r="H987" s="3"/>
      <c r="I987" s="3"/>
      <c r="K987" s="10"/>
      <c r="P987" s="32"/>
    </row>
    <row r="988">
      <c r="E988" s="3"/>
      <c r="F988" s="3"/>
      <c r="G988" s="3"/>
      <c r="H988" s="3"/>
      <c r="I988" s="3"/>
      <c r="K988" s="10"/>
      <c r="P988" s="32"/>
    </row>
    <row r="989">
      <c r="E989" s="3"/>
      <c r="F989" s="3"/>
      <c r="G989" s="3"/>
      <c r="H989" s="3"/>
      <c r="I989" s="3"/>
      <c r="K989" s="10"/>
      <c r="P989" s="32"/>
    </row>
    <row r="990">
      <c r="E990" s="3"/>
      <c r="F990" s="3"/>
      <c r="G990" s="3"/>
      <c r="H990" s="3"/>
      <c r="I990" s="3"/>
      <c r="K990" s="10"/>
      <c r="P990" s="32"/>
    </row>
    <row r="991">
      <c r="E991" s="3"/>
      <c r="F991" s="3"/>
      <c r="G991" s="3"/>
      <c r="H991" s="3"/>
      <c r="I991" s="3"/>
      <c r="K991" s="10"/>
      <c r="P991" s="32"/>
    </row>
    <row r="992">
      <c r="E992" s="3"/>
      <c r="F992" s="3"/>
      <c r="G992" s="3"/>
      <c r="H992" s="3"/>
      <c r="I992" s="3"/>
      <c r="K992" s="10"/>
      <c r="P992" s="32"/>
    </row>
    <row r="993">
      <c r="E993" s="3"/>
      <c r="F993" s="3"/>
      <c r="G993" s="3"/>
      <c r="H993" s="3"/>
      <c r="I993" s="3"/>
      <c r="K993" s="10"/>
      <c r="P993" s="32"/>
    </row>
    <row r="994">
      <c r="E994" s="3"/>
      <c r="F994" s="3"/>
      <c r="G994" s="3"/>
      <c r="H994" s="3"/>
      <c r="I994" s="3"/>
      <c r="K994" s="10"/>
      <c r="P994" s="32"/>
    </row>
    <row r="995">
      <c r="E995" s="3"/>
      <c r="F995" s="3"/>
      <c r="G995" s="3"/>
      <c r="H995" s="3"/>
      <c r="I995" s="3"/>
      <c r="K995" s="10"/>
      <c r="P995" s="32"/>
    </row>
    <row r="996">
      <c r="E996" s="3"/>
      <c r="F996" s="3"/>
      <c r="G996" s="3"/>
      <c r="H996" s="3"/>
      <c r="I996" s="3"/>
      <c r="K996" s="10"/>
      <c r="P996" s="32"/>
    </row>
    <row r="997">
      <c r="E997" s="3"/>
      <c r="F997" s="3"/>
      <c r="G997" s="3"/>
      <c r="H997" s="3"/>
      <c r="I997" s="3"/>
      <c r="K997" s="10"/>
      <c r="P997" s="32"/>
    </row>
    <row r="998">
      <c r="E998" s="3"/>
      <c r="F998" s="3"/>
      <c r="G998" s="3"/>
      <c r="H998" s="3"/>
      <c r="I998" s="3"/>
      <c r="K998" s="10"/>
      <c r="P998" s="32"/>
    </row>
    <row r="999">
      <c r="E999" s="3"/>
      <c r="F999" s="3"/>
      <c r="G999" s="3"/>
      <c r="H999" s="3"/>
      <c r="I999" s="3"/>
      <c r="K999" s="10"/>
      <c r="P999" s="32"/>
    </row>
    <row r="1000">
      <c r="E1000" s="3"/>
      <c r="F1000" s="3"/>
      <c r="G1000" s="3"/>
      <c r="H1000" s="3"/>
      <c r="I1000" s="3"/>
      <c r="K1000" s="10"/>
      <c r="P1000" s="32"/>
    </row>
    <row r="1001">
      <c r="E1001" s="3"/>
      <c r="F1001" s="3"/>
      <c r="G1001" s="3"/>
      <c r="H1001" s="3"/>
      <c r="I1001" s="3"/>
      <c r="K1001" s="10"/>
      <c r="P1001" s="32"/>
    </row>
    <row r="1002">
      <c r="E1002" s="3"/>
      <c r="F1002" s="3"/>
      <c r="G1002" s="3"/>
      <c r="H1002" s="3"/>
      <c r="I1002" s="3"/>
      <c r="K1002" s="10"/>
      <c r="P1002" s="32"/>
    </row>
    <row r="1003">
      <c r="E1003" s="3"/>
      <c r="F1003" s="3"/>
      <c r="G1003" s="3"/>
      <c r="H1003" s="3"/>
      <c r="I1003" s="3"/>
      <c r="K1003" s="10"/>
      <c r="P1003" s="32"/>
    </row>
    <row r="1004">
      <c r="E1004" s="3"/>
      <c r="F1004" s="3"/>
      <c r="G1004" s="3"/>
      <c r="H1004" s="3"/>
      <c r="I1004" s="3"/>
      <c r="K1004" s="10"/>
      <c r="P1004" s="32"/>
    </row>
    <row r="1005">
      <c r="E1005" s="3"/>
      <c r="F1005" s="3"/>
      <c r="G1005" s="3"/>
      <c r="H1005" s="3"/>
      <c r="I1005" s="3"/>
      <c r="K1005" s="10"/>
      <c r="P1005" s="32"/>
    </row>
    <row r="1006">
      <c r="E1006" s="3"/>
      <c r="F1006" s="3"/>
      <c r="G1006" s="3"/>
      <c r="H1006" s="3"/>
      <c r="I1006" s="3"/>
      <c r="K1006" s="10"/>
      <c r="P1006" s="32"/>
    </row>
    <row r="1007">
      <c r="E1007" s="3"/>
      <c r="F1007" s="3"/>
      <c r="G1007" s="3"/>
      <c r="H1007" s="3"/>
      <c r="I1007" s="3"/>
      <c r="K1007" s="10"/>
      <c r="P1007" s="32"/>
    </row>
    <row r="1008">
      <c r="E1008" s="3"/>
      <c r="F1008" s="3"/>
      <c r="G1008" s="3"/>
      <c r="H1008" s="3"/>
      <c r="I1008" s="3"/>
      <c r="K1008" s="10"/>
      <c r="P1008" s="32"/>
    </row>
    <row r="1009">
      <c r="E1009" s="3"/>
      <c r="F1009" s="3"/>
      <c r="G1009" s="3"/>
      <c r="H1009" s="3"/>
      <c r="I1009" s="3"/>
      <c r="K1009" s="10"/>
      <c r="P1009" s="32"/>
    </row>
    <row r="1010">
      <c r="E1010" s="3"/>
      <c r="F1010" s="3"/>
      <c r="G1010" s="3"/>
      <c r="H1010" s="3"/>
      <c r="I1010" s="3"/>
      <c r="K1010" s="10"/>
      <c r="P1010" s="32"/>
    </row>
    <row r="1011">
      <c r="E1011" s="3"/>
      <c r="F1011" s="3"/>
      <c r="G1011" s="3"/>
      <c r="H1011" s="3"/>
      <c r="I1011" s="3"/>
      <c r="K1011" s="10"/>
      <c r="P1011" s="3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19.25"/>
    <col customWidth="1" min="14" max="14" width="7.75"/>
    <col customWidth="1" min="16" max="16" width="30.5"/>
    <col customWidth="1" min="17" max="17" width="8.25"/>
  </cols>
  <sheetData>
    <row r="1">
      <c r="A1" s="28" t="s">
        <v>327</v>
      </c>
      <c r="K1" s="42"/>
      <c r="O1" s="43" t="s">
        <v>328</v>
      </c>
    </row>
    <row r="2">
      <c r="O2" s="13" t="s">
        <v>329</v>
      </c>
      <c r="P2" s="41">
        <v>6965.0</v>
      </c>
    </row>
    <row r="3">
      <c r="A3" s="1" t="s">
        <v>330</v>
      </c>
      <c r="O3" s="13" t="s">
        <v>331</v>
      </c>
      <c r="P3" s="41">
        <v>6565.0</v>
      </c>
    </row>
    <row r="4">
      <c r="A4" s="44" t="s">
        <v>332</v>
      </c>
      <c r="B4" s="44" t="s">
        <v>333</v>
      </c>
      <c r="O4" s="13" t="s">
        <v>334</v>
      </c>
      <c r="P4" s="41">
        <v>6429.0</v>
      </c>
    </row>
    <row r="5">
      <c r="A5" s="11" t="s">
        <v>335</v>
      </c>
      <c r="B5" s="31">
        <v>7685.0</v>
      </c>
      <c r="O5" s="13" t="s">
        <v>336</v>
      </c>
      <c r="P5" s="41">
        <v>7140.0</v>
      </c>
    </row>
    <row r="6">
      <c r="A6" s="11" t="s">
        <v>337</v>
      </c>
      <c r="B6" s="31">
        <v>4667.0</v>
      </c>
      <c r="O6" s="13" t="s">
        <v>338</v>
      </c>
      <c r="P6" s="41">
        <v>5830.0</v>
      </c>
    </row>
    <row r="7">
      <c r="A7" s="11" t="s">
        <v>339</v>
      </c>
      <c r="B7" s="31">
        <v>756.0</v>
      </c>
      <c r="O7" s="13" t="s">
        <v>340</v>
      </c>
      <c r="P7" s="41">
        <v>3617.0</v>
      </c>
    </row>
    <row r="8">
      <c r="A8" s="11" t="s">
        <v>341</v>
      </c>
      <c r="B8" s="31">
        <v>333.0</v>
      </c>
      <c r="O8" s="13" t="s">
        <v>342</v>
      </c>
      <c r="P8" s="41">
        <v>7580.0</v>
      </c>
    </row>
    <row r="9">
      <c r="O9" s="13" t="s">
        <v>343</v>
      </c>
      <c r="P9" s="41">
        <v>3576.0</v>
      </c>
    </row>
    <row r="10">
      <c r="O10" s="13" t="s">
        <v>344</v>
      </c>
      <c r="P10" s="41">
        <v>1943.0</v>
      </c>
    </row>
    <row r="12">
      <c r="A12" s="28" t="s">
        <v>345</v>
      </c>
    </row>
    <row r="13">
      <c r="O13" s="43" t="s">
        <v>346</v>
      </c>
    </row>
    <row r="14">
      <c r="A14" s="1" t="s">
        <v>347</v>
      </c>
      <c r="O14" s="13" t="s">
        <v>348</v>
      </c>
      <c r="P14" s="41">
        <v>9467.0</v>
      </c>
    </row>
    <row r="15">
      <c r="A15" s="44" t="s">
        <v>332</v>
      </c>
      <c r="B15" s="44" t="s">
        <v>333</v>
      </c>
      <c r="O15" s="13" t="s">
        <v>349</v>
      </c>
      <c r="P15" s="41">
        <v>449.0</v>
      </c>
    </row>
    <row r="16">
      <c r="A16" s="11" t="s">
        <v>350</v>
      </c>
      <c r="B16" s="31">
        <v>2198.0</v>
      </c>
      <c r="O16" s="13" t="s">
        <v>351</v>
      </c>
      <c r="P16" s="41">
        <v>44.0</v>
      </c>
    </row>
    <row r="17">
      <c r="A17" s="11" t="s">
        <v>339</v>
      </c>
      <c r="B17" s="31">
        <v>763.0</v>
      </c>
      <c r="O17" s="13" t="s">
        <v>352</v>
      </c>
      <c r="P17" s="41">
        <v>99.0</v>
      </c>
    </row>
    <row r="18">
      <c r="A18" s="11" t="s">
        <v>341</v>
      </c>
      <c r="B18" s="31">
        <v>139.0</v>
      </c>
      <c r="O18" s="13" t="s">
        <v>353</v>
      </c>
      <c r="P18" s="41">
        <v>1365.0</v>
      </c>
    </row>
    <row r="19">
      <c r="O19" s="13" t="s">
        <v>354</v>
      </c>
      <c r="P19" s="41">
        <v>4117.0</v>
      </c>
    </row>
    <row r="20">
      <c r="O20" s="13" t="s">
        <v>355</v>
      </c>
      <c r="P20" s="41">
        <v>9497.0</v>
      </c>
    </row>
    <row r="21">
      <c r="O21" s="13" t="s">
        <v>356</v>
      </c>
      <c r="P21" s="41">
        <v>327.0</v>
      </c>
    </row>
    <row r="22">
      <c r="A22" s="1" t="s">
        <v>357</v>
      </c>
      <c r="O22" s="13" t="s">
        <v>358</v>
      </c>
      <c r="P22" s="41">
        <v>115.0</v>
      </c>
    </row>
    <row r="23">
      <c r="A23" s="44" t="s">
        <v>332</v>
      </c>
      <c r="B23" s="44" t="s">
        <v>333</v>
      </c>
      <c r="O23" s="13" t="s">
        <v>359</v>
      </c>
      <c r="P23" s="41">
        <v>1362.0</v>
      </c>
    </row>
    <row r="24">
      <c r="A24" s="11" t="s">
        <v>335</v>
      </c>
      <c r="B24" s="31">
        <v>7214.0</v>
      </c>
      <c r="O24" s="13" t="s">
        <v>360</v>
      </c>
      <c r="P24" s="41">
        <v>3.0</v>
      </c>
    </row>
    <row r="25">
      <c r="A25" s="11" t="s">
        <v>337</v>
      </c>
      <c r="B25" s="31">
        <v>3925.0</v>
      </c>
      <c r="O25" s="13" t="s">
        <v>361</v>
      </c>
      <c r="P25" s="41">
        <v>6298.0</v>
      </c>
    </row>
    <row r="26">
      <c r="A26" s="11" t="s">
        <v>362</v>
      </c>
      <c r="B26" s="31">
        <v>1731.0</v>
      </c>
      <c r="O26" s="13" t="s">
        <v>363</v>
      </c>
      <c r="P26" s="41">
        <v>33.0</v>
      </c>
    </row>
    <row r="27">
      <c r="A27" s="11" t="s">
        <v>339</v>
      </c>
      <c r="B27" s="31">
        <v>706.0</v>
      </c>
      <c r="O27" s="13" t="s">
        <v>364</v>
      </c>
      <c r="P27" s="41">
        <v>1442.0</v>
      </c>
    </row>
    <row r="28">
      <c r="A28" s="11" t="s">
        <v>341</v>
      </c>
      <c r="B28" s="31">
        <v>200.0</v>
      </c>
      <c r="O28" s="13" t="s">
        <v>365</v>
      </c>
      <c r="P28" s="41">
        <v>640.0</v>
      </c>
    </row>
    <row r="29">
      <c r="O29" s="13" t="s">
        <v>366</v>
      </c>
      <c r="P29" s="41">
        <v>213.0</v>
      </c>
    </row>
    <row r="30">
      <c r="O30" s="13" t="s">
        <v>367</v>
      </c>
      <c r="P30" s="41">
        <v>477.0</v>
      </c>
    </row>
    <row r="31">
      <c r="O31" s="13" t="s">
        <v>368</v>
      </c>
      <c r="P31" s="41">
        <v>2678.0</v>
      </c>
    </row>
    <row r="32">
      <c r="O32" s="13" t="s">
        <v>369</v>
      </c>
      <c r="P32" s="41">
        <v>573.0</v>
      </c>
    </row>
    <row r="33">
      <c r="O33" s="13" t="s">
        <v>370</v>
      </c>
      <c r="P33" s="41">
        <v>5.0</v>
      </c>
    </row>
    <row r="34">
      <c r="O34" s="13" t="s">
        <v>371</v>
      </c>
      <c r="P34" s="41">
        <v>0.0</v>
      </c>
    </row>
    <row r="41">
      <c r="O41" s="43" t="s">
        <v>372</v>
      </c>
    </row>
    <row r="42">
      <c r="O42" s="13" t="s">
        <v>373</v>
      </c>
      <c r="P42" s="41">
        <v>0.32199999999999995</v>
      </c>
    </row>
    <row r="43">
      <c r="O43" s="13" t="s">
        <v>374</v>
      </c>
      <c r="P43" s="41">
        <v>0.274</v>
      </c>
    </row>
    <row r="44">
      <c r="O44" s="13" t="s">
        <v>375</v>
      </c>
      <c r="P44" s="41">
        <v>0.182</v>
      </c>
    </row>
    <row r="45">
      <c r="O45" s="13" t="s">
        <v>376</v>
      </c>
      <c r="P45" s="41">
        <v>0.103</v>
      </c>
    </row>
    <row r="46">
      <c r="O46" s="13" t="s">
        <v>377</v>
      </c>
      <c r="P46" s="41">
        <v>0.119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69.0"/>
    <col customWidth="1" min="16" max="16" width="30.5"/>
    <col customWidth="1" min="17" max="17" width="9.13"/>
  </cols>
  <sheetData>
    <row r="1">
      <c r="A1" s="43" t="s">
        <v>327</v>
      </c>
      <c r="M1" s="43"/>
      <c r="O1" s="43" t="s">
        <v>328</v>
      </c>
    </row>
    <row r="2">
      <c r="A2" s="45" t="s">
        <v>378</v>
      </c>
      <c r="O2" s="13" t="s">
        <v>329</v>
      </c>
      <c r="P2" s="41">
        <v>5971.0</v>
      </c>
      <c r="Q2" s="41">
        <v>-9644.0</v>
      </c>
    </row>
    <row r="3">
      <c r="O3" s="13" t="s">
        <v>331</v>
      </c>
      <c r="P3" s="41">
        <v>4652.0</v>
      </c>
      <c r="Q3" s="41">
        <v>-5028.0</v>
      </c>
    </row>
    <row r="4">
      <c r="O4" s="13" t="s">
        <v>334</v>
      </c>
      <c r="P4" s="41">
        <v>4514.0</v>
      </c>
      <c r="Q4" s="41">
        <v>-35174.471</v>
      </c>
    </row>
    <row r="5">
      <c r="O5" s="13" t="s">
        <v>336</v>
      </c>
      <c r="P5" s="41">
        <v>6455.0</v>
      </c>
    </row>
    <row r="6">
      <c r="O6" s="13" t="s">
        <v>338</v>
      </c>
      <c r="P6" s="41">
        <v>6038.0</v>
      </c>
    </row>
    <row r="7">
      <c r="O7" s="13" t="s">
        <v>340</v>
      </c>
      <c r="P7" s="41">
        <v>3243.0</v>
      </c>
    </row>
    <row r="8">
      <c r="O8" s="13" t="s">
        <v>342</v>
      </c>
      <c r="P8" s="41">
        <v>6865.0</v>
      </c>
    </row>
    <row r="9">
      <c r="O9" s="13" t="s">
        <v>343</v>
      </c>
      <c r="P9" s="41">
        <v>2365.0</v>
      </c>
    </row>
    <row r="10">
      <c r="O10" s="13" t="s">
        <v>344</v>
      </c>
      <c r="P10" s="41">
        <v>719.0</v>
      </c>
    </row>
    <row r="13">
      <c r="O13" s="43" t="s">
        <v>346</v>
      </c>
    </row>
    <row r="14">
      <c r="O14" s="13" t="s">
        <v>348</v>
      </c>
      <c r="P14" s="41">
        <v>15322.0</v>
      </c>
    </row>
    <row r="15">
      <c r="O15" s="13" t="s">
        <v>349</v>
      </c>
      <c r="P15" s="41">
        <v>435.0</v>
      </c>
    </row>
    <row r="16">
      <c r="O16" s="13" t="s">
        <v>351</v>
      </c>
      <c r="P16" s="41">
        <v>323.0</v>
      </c>
    </row>
    <row r="17">
      <c r="O17" s="13" t="s">
        <v>352</v>
      </c>
      <c r="P17" s="41">
        <v>41.0</v>
      </c>
    </row>
    <row r="18">
      <c r="O18" s="13" t="s">
        <v>353</v>
      </c>
      <c r="P18" s="41">
        <v>125.0</v>
      </c>
    </row>
    <row r="19">
      <c r="O19" s="13" t="s">
        <v>354</v>
      </c>
      <c r="P19" s="41">
        <v>4940.0</v>
      </c>
    </row>
    <row r="20">
      <c r="A20" s="43" t="s">
        <v>345</v>
      </c>
      <c r="O20" s="13" t="s">
        <v>355</v>
      </c>
      <c r="P20" s="41">
        <v>1321.0</v>
      </c>
    </row>
    <row r="21">
      <c r="A21" s="13" t="s">
        <v>379</v>
      </c>
      <c r="B21" s="41">
        <v>6727.0</v>
      </c>
      <c r="O21" s="13" t="s">
        <v>361</v>
      </c>
      <c r="P21" s="41">
        <v>5028.0</v>
      </c>
    </row>
    <row r="22">
      <c r="A22" s="13" t="s">
        <v>341</v>
      </c>
      <c r="B22" s="41">
        <v>96.0</v>
      </c>
      <c r="O22" s="13" t="s">
        <v>363</v>
      </c>
      <c r="P22" s="41">
        <v>504.0</v>
      </c>
    </row>
    <row r="23">
      <c r="A23" s="13" t="s">
        <v>339</v>
      </c>
      <c r="B23" s="41">
        <v>622.0</v>
      </c>
      <c r="O23" s="13" t="s">
        <v>364</v>
      </c>
      <c r="P23" s="41">
        <v>658.0</v>
      </c>
    </row>
    <row r="24">
      <c r="O24" s="13" t="s">
        <v>365</v>
      </c>
      <c r="P24" s="41">
        <v>918.0</v>
      </c>
    </row>
    <row r="25">
      <c r="O25" s="13" t="s">
        <v>366</v>
      </c>
      <c r="P25" s="41">
        <v>275.0</v>
      </c>
    </row>
    <row r="26">
      <c r="A26" s="1" t="s">
        <v>0</v>
      </c>
      <c r="B26" s="17">
        <f>((sum(B21:B23)*1.3)/2)</f>
        <v>4839.25</v>
      </c>
      <c r="O26" s="13" t="s">
        <v>367</v>
      </c>
      <c r="P26" s="41">
        <v>588.0</v>
      </c>
    </row>
    <row r="27">
      <c r="O27" s="13" t="s">
        <v>368</v>
      </c>
      <c r="P27" s="41">
        <v>2865.0</v>
      </c>
    </row>
    <row r="28">
      <c r="O28" s="13" t="s">
        <v>369</v>
      </c>
      <c r="P28" s="41">
        <v>412.0</v>
      </c>
    </row>
    <row r="29">
      <c r="O29" s="13" t="s">
        <v>370</v>
      </c>
      <c r="P29" s="41">
        <v>0.0</v>
      </c>
    </row>
    <row r="30">
      <c r="O30" s="13" t="s">
        <v>371</v>
      </c>
      <c r="P30" s="41">
        <v>0.0</v>
      </c>
    </row>
    <row r="37">
      <c r="O37" s="43" t="s">
        <v>372</v>
      </c>
    </row>
    <row r="38">
      <c r="O38" s="13" t="s">
        <v>373</v>
      </c>
      <c r="P38" s="41">
        <v>0.45999999999999996</v>
      </c>
    </row>
    <row r="39">
      <c r="O39" s="13" t="s">
        <v>374</v>
      </c>
      <c r="P39" s="41">
        <v>0.273</v>
      </c>
    </row>
    <row r="40">
      <c r="O40" s="13" t="s">
        <v>375</v>
      </c>
      <c r="P40" s="41">
        <v>0.157</v>
      </c>
    </row>
    <row r="41">
      <c r="O41" s="13" t="s">
        <v>376</v>
      </c>
      <c r="P41" s="41">
        <v>0.051</v>
      </c>
    </row>
    <row r="42">
      <c r="O42" s="13" t="s">
        <v>377</v>
      </c>
      <c r="P42" s="41">
        <v>0.059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19.25"/>
    <col customWidth="1" min="14" max="14" width="7.75"/>
    <col customWidth="1" min="15" max="16" width="30.5"/>
    <col customWidth="1" min="17" max="17" width="8.25"/>
  </cols>
  <sheetData>
    <row r="1">
      <c r="A1" s="28" t="s">
        <v>327</v>
      </c>
      <c r="M1" s="43"/>
      <c r="O1" s="43" t="s">
        <v>328</v>
      </c>
    </row>
    <row r="2">
      <c r="J2" s="43"/>
      <c r="O2" s="13" t="s">
        <v>329</v>
      </c>
      <c r="P2" s="41">
        <v>6115.0</v>
      </c>
      <c r="Q2" s="41">
        <v>-10962.0</v>
      </c>
    </row>
    <row r="3">
      <c r="A3" s="1" t="s">
        <v>380</v>
      </c>
      <c r="O3" s="13" t="s">
        <v>331</v>
      </c>
      <c r="P3" s="41">
        <v>4873.0</v>
      </c>
      <c r="Q3" s="41">
        <v>-3299.0</v>
      </c>
    </row>
    <row r="4">
      <c r="A4" s="44" t="s">
        <v>332</v>
      </c>
      <c r="B4" s="44" t="s">
        <v>333</v>
      </c>
      <c r="O4" s="13" t="s">
        <v>334</v>
      </c>
      <c r="P4" s="41">
        <v>6111.0</v>
      </c>
      <c r="Q4" s="41">
        <v>-32504.23</v>
      </c>
    </row>
    <row r="5">
      <c r="A5" s="11" t="s">
        <v>381</v>
      </c>
      <c r="B5" s="31">
        <v>1905.0</v>
      </c>
      <c r="O5" s="13" t="s">
        <v>336</v>
      </c>
      <c r="P5" s="41">
        <v>6052.0</v>
      </c>
    </row>
    <row r="6">
      <c r="A6" s="11" t="s">
        <v>339</v>
      </c>
      <c r="B6" s="31">
        <v>879.0</v>
      </c>
      <c r="O6" s="13" t="s">
        <v>338</v>
      </c>
      <c r="P6" s="41">
        <v>6231.0</v>
      </c>
    </row>
    <row r="7">
      <c r="A7" s="11" t="s">
        <v>341</v>
      </c>
      <c r="B7" s="31">
        <v>146.0</v>
      </c>
      <c r="O7" s="13" t="s">
        <v>340</v>
      </c>
      <c r="P7" s="41">
        <v>3282.0</v>
      </c>
    </row>
    <row r="8">
      <c r="O8" s="13" t="s">
        <v>342</v>
      </c>
      <c r="P8" s="41">
        <v>7794.0</v>
      </c>
    </row>
    <row r="9">
      <c r="O9" s="13" t="s">
        <v>343</v>
      </c>
      <c r="P9" s="41">
        <v>3738.0</v>
      </c>
    </row>
    <row r="10">
      <c r="O10" s="13" t="s">
        <v>344</v>
      </c>
      <c r="P10" s="41">
        <v>919.0</v>
      </c>
    </row>
    <row r="11">
      <c r="A11" s="1" t="s">
        <v>330</v>
      </c>
    </row>
    <row r="12">
      <c r="A12" s="44" t="s">
        <v>332</v>
      </c>
      <c r="B12" s="44" t="s">
        <v>333</v>
      </c>
    </row>
    <row r="13">
      <c r="A13" s="11" t="s">
        <v>382</v>
      </c>
      <c r="B13" s="31">
        <v>6405.0</v>
      </c>
      <c r="O13" s="43" t="s">
        <v>346</v>
      </c>
    </row>
    <row r="14">
      <c r="A14" s="11" t="s">
        <v>339</v>
      </c>
      <c r="B14" s="31">
        <v>1602.0</v>
      </c>
      <c r="O14" s="13" t="s">
        <v>348</v>
      </c>
      <c r="P14" s="41">
        <v>22512.0</v>
      </c>
    </row>
    <row r="15">
      <c r="A15" s="11" t="s">
        <v>341</v>
      </c>
      <c r="B15" s="31">
        <v>203.0</v>
      </c>
      <c r="O15" s="13" t="s">
        <v>349</v>
      </c>
      <c r="P15" s="41">
        <v>299.0</v>
      </c>
    </row>
    <row r="16">
      <c r="O16" s="13" t="s">
        <v>351</v>
      </c>
      <c r="P16" s="41">
        <v>69.0</v>
      </c>
    </row>
    <row r="17">
      <c r="O17" s="13" t="s">
        <v>352</v>
      </c>
      <c r="P17" s="41">
        <v>29.0</v>
      </c>
    </row>
    <row r="18">
      <c r="O18" s="13" t="s">
        <v>353</v>
      </c>
      <c r="P18" s="41">
        <v>916.0</v>
      </c>
    </row>
    <row r="19">
      <c r="A19" s="28" t="s">
        <v>345</v>
      </c>
      <c r="O19" s="13" t="s">
        <v>354</v>
      </c>
      <c r="P19" s="41">
        <v>4621.0</v>
      </c>
    </row>
    <row r="20">
      <c r="O20" s="13" t="s">
        <v>355</v>
      </c>
      <c r="P20" s="41">
        <v>2946.0</v>
      </c>
    </row>
    <row r="21">
      <c r="A21" s="1" t="s">
        <v>357</v>
      </c>
      <c r="O21" s="13" t="s">
        <v>356</v>
      </c>
      <c r="P21" s="41">
        <v>238.0</v>
      </c>
    </row>
    <row r="22">
      <c r="A22" s="44" t="s">
        <v>332</v>
      </c>
      <c r="B22" s="44" t="s">
        <v>333</v>
      </c>
      <c r="O22" s="13" t="s">
        <v>358</v>
      </c>
      <c r="P22" s="41">
        <v>51.0</v>
      </c>
    </row>
    <row r="23">
      <c r="A23" s="11" t="s">
        <v>382</v>
      </c>
      <c r="B23" s="31">
        <v>6782.0</v>
      </c>
      <c r="O23" s="13" t="s">
        <v>359</v>
      </c>
      <c r="P23" s="41">
        <v>1125.0</v>
      </c>
    </row>
    <row r="24">
      <c r="A24" s="11" t="s">
        <v>339</v>
      </c>
      <c r="B24" s="31">
        <v>1996.0</v>
      </c>
      <c r="O24" s="13" t="s">
        <v>360</v>
      </c>
      <c r="P24" s="41">
        <v>19.0</v>
      </c>
    </row>
    <row r="25">
      <c r="A25" s="11" t="s">
        <v>341</v>
      </c>
      <c r="B25" s="31">
        <v>176.0</v>
      </c>
      <c r="O25" s="13" t="s">
        <v>361</v>
      </c>
      <c r="P25" s="41">
        <v>3299.0</v>
      </c>
    </row>
    <row r="26">
      <c r="O26" s="13" t="s">
        <v>363</v>
      </c>
      <c r="P26" s="41">
        <v>89.0</v>
      </c>
    </row>
    <row r="27">
      <c r="O27" s="13" t="s">
        <v>364</v>
      </c>
      <c r="P27" s="41">
        <v>2009.0</v>
      </c>
    </row>
    <row r="28">
      <c r="O28" s="13" t="s">
        <v>365</v>
      </c>
      <c r="P28" s="41">
        <v>1630.0</v>
      </c>
    </row>
    <row r="29">
      <c r="O29" s="13" t="s">
        <v>366</v>
      </c>
      <c r="P29" s="41">
        <v>237.0</v>
      </c>
    </row>
    <row r="30">
      <c r="O30" s="13" t="s">
        <v>367</v>
      </c>
      <c r="P30" s="41">
        <v>477.0</v>
      </c>
    </row>
    <row r="31">
      <c r="O31" s="13" t="s">
        <v>368</v>
      </c>
      <c r="P31" s="41">
        <v>2089.0</v>
      </c>
    </row>
    <row r="32">
      <c r="O32" s="13" t="s">
        <v>369</v>
      </c>
      <c r="P32" s="41">
        <v>830.0</v>
      </c>
    </row>
    <row r="33">
      <c r="O33" s="13" t="s">
        <v>370</v>
      </c>
      <c r="P33" s="41">
        <v>17.0</v>
      </c>
    </row>
    <row r="34">
      <c r="O34" s="13" t="s">
        <v>371</v>
      </c>
      <c r="P34" s="41">
        <v>71.0</v>
      </c>
    </row>
    <row r="41">
      <c r="O41" s="43" t="s">
        <v>372</v>
      </c>
    </row>
    <row r="42">
      <c r="O42" s="13" t="s">
        <v>373</v>
      </c>
      <c r="P42" s="41">
        <v>0.301</v>
      </c>
    </row>
    <row r="43">
      <c r="O43" s="13" t="s">
        <v>374</v>
      </c>
      <c r="P43" s="41">
        <v>0.304</v>
      </c>
    </row>
    <row r="44">
      <c r="O44" s="13" t="s">
        <v>375</v>
      </c>
      <c r="P44" s="41">
        <v>0.154</v>
      </c>
    </row>
    <row r="45">
      <c r="O45" s="13" t="s">
        <v>376</v>
      </c>
      <c r="P45" s="41">
        <v>0.093</v>
      </c>
    </row>
    <row r="46">
      <c r="O46" s="13" t="s">
        <v>377</v>
      </c>
      <c r="P46" s="41">
        <v>0.148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19.25"/>
    <col customWidth="1" min="14" max="14" width="8.63"/>
    <col customWidth="1" min="16" max="16" width="30.5"/>
    <col customWidth="1" min="17" max="17" width="9.13"/>
  </cols>
  <sheetData>
    <row r="1">
      <c r="A1" s="28" t="s">
        <v>327</v>
      </c>
      <c r="H1" s="13"/>
      <c r="K1" s="42"/>
      <c r="M1" s="43"/>
      <c r="O1" s="43" t="s">
        <v>328</v>
      </c>
    </row>
    <row r="2">
      <c r="O2" s="13" t="s">
        <v>329</v>
      </c>
      <c r="P2" s="41">
        <v>5523.0</v>
      </c>
    </row>
    <row r="3">
      <c r="A3" s="1" t="s">
        <v>330</v>
      </c>
      <c r="O3" s="13" t="s">
        <v>331</v>
      </c>
      <c r="P3" s="41">
        <v>4490.0</v>
      </c>
    </row>
    <row r="4">
      <c r="A4" s="44" t="s">
        <v>332</v>
      </c>
      <c r="B4" s="44" t="s">
        <v>333</v>
      </c>
      <c r="O4" s="13" t="s">
        <v>334</v>
      </c>
      <c r="P4" s="41">
        <v>5722.0</v>
      </c>
    </row>
    <row r="5">
      <c r="A5" s="11" t="s">
        <v>383</v>
      </c>
      <c r="B5" s="31">
        <v>6439.0</v>
      </c>
      <c r="O5" s="13" t="s">
        <v>336</v>
      </c>
      <c r="P5" s="41">
        <v>6044.0</v>
      </c>
    </row>
    <row r="6">
      <c r="A6" s="11" t="s">
        <v>339</v>
      </c>
      <c r="B6" s="31">
        <v>2350.0</v>
      </c>
      <c r="O6" s="13" t="s">
        <v>338</v>
      </c>
      <c r="P6" s="41">
        <v>5434.0</v>
      </c>
    </row>
    <row r="7">
      <c r="A7" s="11" t="s">
        <v>341</v>
      </c>
      <c r="B7" s="31">
        <v>177.0</v>
      </c>
      <c r="O7" s="13" t="s">
        <v>340</v>
      </c>
      <c r="P7" s="41">
        <v>2736.0</v>
      </c>
    </row>
    <row r="8">
      <c r="O8" s="13" t="s">
        <v>342</v>
      </c>
      <c r="P8" s="41">
        <v>6382.0</v>
      </c>
    </row>
    <row r="9">
      <c r="O9" s="13" t="s">
        <v>343</v>
      </c>
      <c r="P9" s="41">
        <v>3042.0</v>
      </c>
    </row>
    <row r="10">
      <c r="O10" s="13" t="s">
        <v>344</v>
      </c>
      <c r="P10" s="41">
        <v>957.0</v>
      </c>
    </row>
    <row r="11">
      <c r="A11" s="28" t="s">
        <v>345</v>
      </c>
    </row>
    <row r="13">
      <c r="A13" s="1" t="s">
        <v>347</v>
      </c>
      <c r="O13" s="43" t="s">
        <v>346</v>
      </c>
    </row>
    <row r="14">
      <c r="A14" s="44" t="s">
        <v>332</v>
      </c>
      <c r="B14" s="44" t="s">
        <v>333</v>
      </c>
      <c r="O14" s="13" t="s">
        <v>348</v>
      </c>
      <c r="P14" s="41">
        <v>16112.0</v>
      </c>
    </row>
    <row r="15">
      <c r="A15" s="11" t="s">
        <v>384</v>
      </c>
      <c r="B15" s="31">
        <v>2037.0</v>
      </c>
      <c r="O15" s="13" t="s">
        <v>349</v>
      </c>
      <c r="P15" s="41">
        <v>416.0</v>
      </c>
    </row>
    <row r="16">
      <c r="A16" s="11" t="s">
        <v>339</v>
      </c>
      <c r="B16" s="31">
        <v>1081.0</v>
      </c>
      <c r="O16" s="13" t="s">
        <v>351</v>
      </c>
      <c r="P16" s="41">
        <v>255.0</v>
      </c>
    </row>
    <row r="17">
      <c r="A17" s="11" t="s">
        <v>341</v>
      </c>
      <c r="B17" s="31">
        <v>87.0</v>
      </c>
      <c r="O17" s="13" t="s">
        <v>352</v>
      </c>
      <c r="P17" s="41">
        <v>31.0</v>
      </c>
    </row>
    <row r="18">
      <c r="O18" s="13" t="s">
        <v>353</v>
      </c>
      <c r="P18" s="41">
        <v>692.0</v>
      </c>
    </row>
    <row r="19">
      <c r="O19" s="13" t="s">
        <v>354</v>
      </c>
      <c r="P19" s="41">
        <v>4398.0</v>
      </c>
    </row>
    <row r="20">
      <c r="O20" s="13" t="s">
        <v>355</v>
      </c>
      <c r="P20" s="41">
        <v>2356.0</v>
      </c>
    </row>
    <row r="21">
      <c r="A21" s="1" t="s">
        <v>357</v>
      </c>
      <c r="O21" s="13" t="s">
        <v>356</v>
      </c>
      <c r="P21" s="41">
        <v>94.0</v>
      </c>
    </row>
    <row r="22">
      <c r="A22" s="44" t="s">
        <v>332</v>
      </c>
      <c r="B22" s="44" t="s">
        <v>333</v>
      </c>
      <c r="O22" s="13" t="s">
        <v>358</v>
      </c>
      <c r="P22" s="41">
        <v>35.0</v>
      </c>
    </row>
    <row r="23">
      <c r="A23" s="11" t="s">
        <v>383</v>
      </c>
      <c r="B23" s="31">
        <v>7226.0</v>
      </c>
      <c r="O23" s="13" t="s">
        <v>359</v>
      </c>
      <c r="P23" s="41">
        <v>1031.0</v>
      </c>
    </row>
    <row r="24">
      <c r="A24" s="11" t="s">
        <v>339</v>
      </c>
      <c r="B24" s="31">
        <v>2638.0</v>
      </c>
      <c r="O24" s="13" t="s">
        <v>360</v>
      </c>
      <c r="P24" s="41">
        <v>1.0</v>
      </c>
    </row>
    <row r="25">
      <c r="A25" s="11" t="s">
        <v>341</v>
      </c>
      <c r="B25" s="31">
        <v>150.0</v>
      </c>
      <c r="O25" s="13" t="s">
        <v>361</v>
      </c>
      <c r="P25" s="41">
        <v>4192.0</v>
      </c>
    </row>
    <row r="26">
      <c r="O26" s="13" t="s">
        <v>363</v>
      </c>
      <c r="P26" s="41">
        <v>102.0</v>
      </c>
    </row>
    <row r="27">
      <c r="O27" s="13" t="s">
        <v>364</v>
      </c>
      <c r="P27" s="41">
        <v>934.0</v>
      </c>
    </row>
    <row r="28">
      <c r="O28" s="13" t="s">
        <v>365</v>
      </c>
      <c r="P28" s="41">
        <v>698.0</v>
      </c>
    </row>
    <row r="29">
      <c r="O29" s="13" t="s">
        <v>366</v>
      </c>
      <c r="P29" s="41">
        <v>149.0</v>
      </c>
    </row>
    <row r="30">
      <c r="O30" s="13" t="s">
        <v>367</v>
      </c>
      <c r="P30" s="41">
        <v>682.0</v>
      </c>
    </row>
    <row r="31">
      <c r="O31" s="13" t="s">
        <v>368</v>
      </c>
      <c r="P31" s="41">
        <v>2331.0</v>
      </c>
    </row>
    <row r="32">
      <c r="O32" s="13" t="s">
        <v>369</v>
      </c>
      <c r="P32" s="41">
        <v>1074.0</v>
      </c>
    </row>
    <row r="33">
      <c r="O33" s="13" t="s">
        <v>370</v>
      </c>
      <c r="P33" s="41">
        <v>13.0</v>
      </c>
    </row>
    <row r="34">
      <c r="O34" s="13" t="s">
        <v>371</v>
      </c>
      <c r="P34" s="41">
        <v>4.0</v>
      </c>
    </row>
    <row r="41">
      <c r="O41" s="43" t="s">
        <v>372</v>
      </c>
    </row>
    <row r="42">
      <c r="O42" s="13" t="s">
        <v>373</v>
      </c>
      <c r="P42" s="41">
        <v>0.247</v>
      </c>
    </row>
    <row r="43">
      <c r="O43" s="13" t="s">
        <v>374</v>
      </c>
      <c r="P43" s="41">
        <v>0.28600000000000003</v>
      </c>
    </row>
    <row r="44">
      <c r="O44" s="13" t="s">
        <v>375</v>
      </c>
      <c r="P44" s="41">
        <v>0.211</v>
      </c>
    </row>
    <row r="45">
      <c r="O45" s="13" t="s">
        <v>376</v>
      </c>
      <c r="P45" s="41">
        <v>0.112</v>
      </c>
    </row>
    <row r="46">
      <c r="O46" s="13" t="s">
        <v>377</v>
      </c>
      <c r="P46" s="41">
        <v>0.144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19.25"/>
    <col customWidth="1" min="14" max="14" width="10.38"/>
    <col customWidth="1" min="16" max="16" width="30.5"/>
    <col customWidth="1" min="17" max="17" width="9.13"/>
  </cols>
  <sheetData>
    <row r="1">
      <c r="A1" s="28" t="s">
        <v>327</v>
      </c>
      <c r="K1" s="42"/>
      <c r="M1" s="43"/>
      <c r="O1" s="43" t="s">
        <v>328</v>
      </c>
    </row>
    <row r="2">
      <c r="O2" s="13" t="s">
        <v>329</v>
      </c>
      <c r="P2" s="41">
        <v>6866.0</v>
      </c>
    </row>
    <row r="3">
      <c r="A3" s="1" t="s">
        <v>330</v>
      </c>
      <c r="O3" s="13" t="s">
        <v>331</v>
      </c>
      <c r="P3" s="41">
        <v>5843.0</v>
      </c>
    </row>
    <row r="4">
      <c r="A4" s="44" t="s">
        <v>332</v>
      </c>
      <c r="B4" s="44" t="s">
        <v>333</v>
      </c>
      <c r="O4" s="13" t="s">
        <v>334</v>
      </c>
      <c r="P4" s="41">
        <v>5739.0</v>
      </c>
    </row>
    <row r="5">
      <c r="A5" s="11" t="s">
        <v>385</v>
      </c>
      <c r="B5" s="31">
        <v>6745.0</v>
      </c>
      <c r="O5" s="13" t="s">
        <v>336</v>
      </c>
      <c r="P5" s="41">
        <v>7324.0</v>
      </c>
    </row>
    <row r="6">
      <c r="A6" s="11" t="s">
        <v>339</v>
      </c>
      <c r="B6" s="31">
        <v>1118.0</v>
      </c>
      <c r="O6" s="13" t="s">
        <v>338</v>
      </c>
      <c r="P6" s="41">
        <v>6574.0</v>
      </c>
    </row>
    <row r="7">
      <c r="A7" s="11" t="s">
        <v>341</v>
      </c>
      <c r="B7" s="31">
        <v>249.0</v>
      </c>
      <c r="O7" s="13" t="s">
        <v>340</v>
      </c>
      <c r="P7" s="41">
        <v>3942.0</v>
      </c>
    </row>
    <row r="8">
      <c r="O8" s="13" t="s">
        <v>342</v>
      </c>
      <c r="P8" s="41">
        <v>7388.0</v>
      </c>
    </row>
    <row r="9">
      <c r="O9" s="13" t="s">
        <v>343</v>
      </c>
      <c r="P9" s="41">
        <v>3521.0</v>
      </c>
    </row>
    <row r="10">
      <c r="O10" s="13" t="s">
        <v>344</v>
      </c>
      <c r="P10" s="41">
        <v>1337.0</v>
      </c>
    </row>
    <row r="13">
      <c r="O13" s="43" t="s">
        <v>346</v>
      </c>
    </row>
    <row r="14">
      <c r="O14" s="13" t="s">
        <v>348</v>
      </c>
      <c r="P14" s="41">
        <v>7079.0</v>
      </c>
    </row>
    <row r="15">
      <c r="O15" s="13" t="s">
        <v>349</v>
      </c>
      <c r="P15" s="41">
        <v>498.0</v>
      </c>
    </row>
    <row r="16">
      <c r="O16" s="13" t="s">
        <v>351</v>
      </c>
      <c r="P16" s="41">
        <v>70.0</v>
      </c>
    </row>
    <row r="17">
      <c r="O17" s="13" t="s">
        <v>352</v>
      </c>
      <c r="P17" s="41">
        <v>36.0</v>
      </c>
    </row>
    <row r="18">
      <c r="O18" s="13" t="s">
        <v>353</v>
      </c>
      <c r="P18" s="41">
        <v>445.0</v>
      </c>
    </row>
    <row r="19">
      <c r="O19" s="13" t="s">
        <v>354</v>
      </c>
      <c r="P19" s="41">
        <v>15907.0</v>
      </c>
    </row>
    <row r="20">
      <c r="O20" s="13" t="s">
        <v>355</v>
      </c>
      <c r="P20" s="41">
        <v>6025.0</v>
      </c>
    </row>
    <row r="21">
      <c r="O21" s="13" t="s">
        <v>356</v>
      </c>
      <c r="P21" s="41">
        <v>396.0</v>
      </c>
    </row>
    <row r="22">
      <c r="O22" s="13" t="s">
        <v>358</v>
      </c>
      <c r="P22" s="41">
        <v>310.0</v>
      </c>
    </row>
    <row r="23">
      <c r="O23" s="13" t="s">
        <v>359</v>
      </c>
      <c r="P23" s="41">
        <v>2192.0</v>
      </c>
    </row>
    <row r="24">
      <c r="O24" s="13" t="s">
        <v>360</v>
      </c>
      <c r="P24" s="41">
        <v>33.0</v>
      </c>
    </row>
    <row r="25">
      <c r="O25" s="13" t="s">
        <v>361</v>
      </c>
      <c r="P25" s="41">
        <v>4748.0</v>
      </c>
    </row>
    <row r="26">
      <c r="O26" s="13" t="s">
        <v>363</v>
      </c>
      <c r="P26" s="41">
        <v>140.0</v>
      </c>
    </row>
    <row r="27">
      <c r="O27" s="13" t="s">
        <v>364</v>
      </c>
      <c r="P27" s="41">
        <v>1922.0</v>
      </c>
    </row>
    <row r="28">
      <c r="O28" s="13" t="s">
        <v>365</v>
      </c>
      <c r="P28" s="41">
        <v>580.0</v>
      </c>
    </row>
    <row r="29">
      <c r="O29" s="13" t="s">
        <v>366</v>
      </c>
      <c r="P29" s="41">
        <v>117.0</v>
      </c>
    </row>
    <row r="30">
      <c r="O30" s="13" t="s">
        <v>367</v>
      </c>
      <c r="P30" s="41">
        <v>80.0</v>
      </c>
    </row>
    <row r="31">
      <c r="O31" s="13" t="s">
        <v>368</v>
      </c>
      <c r="P31" s="41">
        <v>2138.0</v>
      </c>
    </row>
    <row r="32">
      <c r="O32" s="13" t="s">
        <v>369</v>
      </c>
      <c r="P32" s="41">
        <v>498.0</v>
      </c>
    </row>
    <row r="33">
      <c r="O33" s="13" t="s">
        <v>370</v>
      </c>
      <c r="P33" s="41">
        <v>20.0</v>
      </c>
    </row>
    <row r="34">
      <c r="O34" s="13" t="s">
        <v>371</v>
      </c>
      <c r="P34" s="41">
        <v>56.0</v>
      </c>
    </row>
    <row r="37">
      <c r="O37" s="43" t="s">
        <v>372</v>
      </c>
    </row>
    <row r="38">
      <c r="O38" s="13" t="s">
        <v>373</v>
      </c>
      <c r="P38" s="41">
        <v>0.25</v>
      </c>
    </row>
    <row r="39">
      <c r="O39" s="13" t="s">
        <v>374</v>
      </c>
      <c r="P39" s="41">
        <v>0.257</v>
      </c>
    </row>
    <row r="40">
      <c r="O40" s="13" t="s">
        <v>375</v>
      </c>
      <c r="P40" s="41">
        <v>0.223</v>
      </c>
    </row>
    <row r="41">
      <c r="O41" s="13" t="s">
        <v>376</v>
      </c>
      <c r="P41" s="41">
        <v>0.122</v>
      </c>
    </row>
    <row r="42">
      <c r="O42" s="13" t="s">
        <v>377</v>
      </c>
      <c r="P42" s="41">
        <v>0.147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5.13"/>
    <col customWidth="1" min="10" max="10" width="53.13"/>
    <col customWidth="1" min="11" max="11" width="5.5"/>
    <col customWidth="1" min="13" max="13" width="19.25"/>
    <col customWidth="1" min="14" max="14" width="11.75"/>
    <col customWidth="1" min="16" max="16" width="30.5"/>
    <col customWidth="1" min="17" max="17" width="9.13"/>
  </cols>
  <sheetData>
    <row r="1">
      <c r="A1" s="28" t="s">
        <v>327</v>
      </c>
      <c r="K1" s="42"/>
      <c r="M1" s="43"/>
      <c r="O1" s="43" t="s">
        <v>328</v>
      </c>
    </row>
    <row r="2">
      <c r="O2" s="13" t="s">
        <v>329</v>
      </c>
      <c r="P2" s="41">
        <v>6255.0</v>
      </c>
    </row>
    <row r="3">
      <c r="A3" s="1" t="s">
        <v>380</v>
      </c>
      <c r="O3" s="13" t="s">
        <v>331</v>
      </c>
      <c r="P3" s="41">
        <v>5458.0</v>
      </c>
    </row>
    <row r="4">
      <c r="A4" s="44" t="s">
        <v>332</v>
      </c>
      <c r="B4" s="44" t="s">
        <v>333</v>
      </c>
      <c r="O4" s="13" t="s">
        <v>334</v>
      </c>
      <c r="P4" s="41">
        <v>6826.0</v>
      </c>
    </row>
    <row r="5">
      <c r="A5" s="11" t="s">
        <v>386</v>
      </c>
      <c r="B5" s="31">
        <v>1477.0</v>
      </c>
      <c r="O5" s="13" t="s">
        <v>336</v>
      </c>
      <c r="P5" s="41">
        <v>7573.0</v>
      </c>
    </row>
    <row r="6">
      <c r="A6" s="11" t="s">
        <v>339</v>
      </c>
      <c r="B6" s="31">
        <v>564.0</v>
      </c>
      <c r="O6" s="13" t="s">
        <v>338</v>
      </c>
      <c r="P6" s="41">
        <v>7644.0</v>
      </c>
    </row>
    <row r="7">
      <c r="A7" s="11" t="s">
        <v>341</v>
      </c>
      <c r="B7" s="31">
        <v>111.0</v>
      </c>
      <c r="O7" s="13" t="s">
        <v>340</v>
      </c>
      <c r="P7" s="41">
        <v>4309.0</v>
      </c>
    </row>
    <row r="8">
      <c r="O8" s="13" t="s">
        <v>342</v>
      </c>
      <c r="P8" s="41">
        <v>8501.0</v>
      </c>
    </row>
    <row r="9">
      <c r="O9" s="13" t="s">
        <v>343</v>
      </c>
      <c r="P9" s="41">
        <v>2694.0</v>
      </c>
    </row>
    <row r="10">
      <c r="O10" s="13" t="s">
        <v>344</v>
      </c>
      <c r="P10" s="41">
        <v>1038.0</v>
      </c>
    </row>
    <row r="11">
      <c r="A11" s="1" t="s">
        <v>330</v>
      </c>
    </row>
    <row r="12">
      <c r="A12" s="44" t="s">
        <v>332</v>
      </c>
      <c r="B12" s="44" t="s">
        <v>333</v>
      </c>
    </row>
    <row r="13">
      <c r="A13" s="11" t="s">
        <v>387</v>
      </c>
      <c r="B13" s="31">
        <v>4390.0</v>
      </c>
      <c r="O13" s="43" t="s">
        <v>346</v>
      </c>
    </row>
    <row r="14">
      <c r="A14" s="11" t="s">
        <v>339</v>
      </c>
      <c r="B14" s="31">
        <v>1390.0</v>
      </c>
      <c r="O14" s="13" t="s">
        <v>348</v>
      </c>
      <c r="P14" s="41">
        <v>24059.0</v>
      </c>
    </row>
    <row r="15">
      <c r="A15" s="11" t="s">
        <v>341</v>
      </c>
      <c r="B15" s="31">
        <v>128.0</v>
      </c>
      <c r="O15" s="13" t="s">
        <v>349</v>
      </c>
      <c r="P15" s="41">
        <v>594.0</v>
      </c>
    </row>
    <row r="16">
      <c r="O16" s="13" t="s">
        <v>351</v>
      </c>
      <c r="P16" s="41">
        <v>183.0</v>
      </c>
    </row>
    <row r="17">
      <c r="O17" s="13" t="s">
        <v>352</v>
      </c>
      <c r="P17" s="41">
        <v>94.0</v>
      </c>
    </row>
    <row r="18">
      <c r="O18" s="13" t="s">
        <v>353</v>
      </c>
      <c r="P18" s="41">
        <v>414.0</v>
      </c>
    </row>
    <row r="19">
      <c r="A19" s="28" t="s">
        <v>345</v>
      </c>
      <c r="O19" s="13" t="s">
        <v>354</v>
      </c>
      <c r="P19" s="41">
        <v>9047.0</v>
      </c>
    </row>
    <row r="20">
      <c r="O20" s="13" t="s">
        <v>355</v>
      </c>
      <c r="P20" s="41">
        <v>1612.0</v>
      </c>
    </row>
    <row r="21">
      <c r="A21" s="1" t="s">
        <v>388</v>
      </c>
      <c r="O21" s="13" t="s">
        <v>356</v>
      </c>
      <c r="P21" s="41">
        <v>188.0</v>
      </c>
    </row>
    <row r="22">
      <c r="A22" s="44" t="s">
        <v>332</v>
      </c>
      <c r="B22" s="44" t="s">
        <v>333</v>
      </c>
      <c r="O22" s="13" t="s">
        <v>358</v>
      </c>
      <c r="P22" s="41">
        <v>458.0</v>
      </c>
    </row>
    <row r="23">
      <c r="A23" s="11" t="s">
        <v>389</v>
      </c>
      <c r="B23" s="31">
        <v>48.0</v>
      </c>
      <c r="O23" s="13" t="s">
        <v>359</v>
      </c>
      <c r="P23" s="41">
        <v>1091.0</v>
      </c>
    </row>
    <row r="24">
      <c r="A24" s="11" t="s">
        <v>339</v>
      </c>
      <c r="B24" s="31">
        <v>15.0</v>
      </c>
      <c r="O24" s="13" t="s">
        <v>360</v>
      </c>
      <c r="P24" s="41">
        <v>21.0</v>
      </c>
    </row>
    <row r="25">
      <c r="A25" s="11" t="s">
        <v>341</v>
      </c>
      <c r="B25" s="31">
        <v>163.0</v>
      </c>
      <c r="O25" s="13" t="s">
        <v>361</v>
      </c>
      <c r="P25" s="41">
        <v>1149.0</v>
      </c>
    </row>
    <row r="26">
      <c r="O26" s="13" t="s">
        <v>363</v>
      </c>
      <c r="P26" s="41">
        <v>64.0</v>
      </c>
    </row>
    <row r="27">
      <c r="O27" s="13" t="s">
        <v>364</v>
      </c>
      <c r="P27" s="41">
        <v>924.0</v>
      </c>
    </row>
    <row r="28">
      <c r="O28" s="13" t="s">
        <v>365</v>
      </c>
      <c r="P28" s="41">
        <v>1298.0</v>
      </c>
    </row>
    <row r="29">
      <c r="A29" s="1" t="s">
        <v>347</v>
      </c>
      <c r="O29" s="13" t="s">
        <v>366</v>
      </c>
      <c r="P29" s="41">
        <v>184.0</v>
      </c>
    </row>
    <row r="30">
      <c r="A30" s="44" t="s">
        <v>332</v>
      </c>
      <c r="B30" s="44" t="s">
        <v>333</v>
      </c>
      <c r="O30" s="13" t="s">
        <v>367</v>
      </c>
      <c r="P30" s="41">
        <v>609.0</v>
      </c>
    </row>
    <row r="31">
      <c r="A31" s="11" t="s">
        <v>386</v>
      </c>
      <c r="B31" s="31">
        <v>1335.0</v>
      </c>
      <c r="O31" s="13" t="s">
        <v>368</v>
      </c>
      <c r="P31" s="41">
        <v>2263.0</v>
      </c>
    </row>
    <row r="32">
      <c r="A32" s="11" t="s">
        <v>390</v>
      </c>
      <c r="B32" s="31">
        <v>1116.0</v>
      </c>
      <c r="O32" s="13" t="s">
        <v>369</v>
      </c>
      <c r="P32" s="41">
        <v>2643.0</v>
      </c>
    </row>
    <row r="33">
      <c r="A33" s="11" t="s">
        <v>339</v>
      </c>
      <c r="B33" s="31">
        <v>501.0</v>
      </c>
      <c r="O33" s="13" t="s">
        <v>370</v>
      </c>
      <c r="P33" s="41">
        <v>20.0</v>
      </c>
    </row>
    <row r="34">
      <c r="A34" s="11" t="s">
        <v>341</v>
      </c>
      <c r="B34" s="31">
        <v>151.0</v>
      </c>
      <c r="O34" s="13" t="s">
        <v>371</v>
      </c>
      <c r="P34" s="41">
        <v>70.0</v>
      </c>
    </row>
    <row r="38">
      <c r="A38" s="1" t="s">
        <v>357</v>
      </c>
    </row>
    <row r="39">
      <c r="A39" s="44" t="s">
        <v>332</v>
      </c>
      <c r="B39" s="44" t="s">
        <v>333</v>
      </c>
    </row>
    <row r="40">
      <c r="A40" s="11" t="s">
        <v>391</v>
      </c>
      <c r="B40" s="31">
        <v>3897.0</v>
      </c>
    </row>
    <row r="41">
      <c r="A41" s="11" t="s">
        <v>392</v>
      </c>
      <c r="B41" s="31">
        <v>1502.0</v>
      </c>
      <c r="O41" s="43" t="s">
        <v>372</v>
      </c>
    </row>
    <row r="42">
      <c r="A42" s="11" t="s">
        <v>393</v>
      </c>
      <c r="B42" s="31">
        <v>1115.0</v>
      </c>
      <c r="O42" s="13" t="s">
        <v>373</v>
      </c>
      <c r="P42" s="41">
        <v>0.21799999999999997</v>
      </c>
    </row>
    <row r="43">
      <c r="A43" s="11" t="s">
        <v>339</v>
      </c>
      <c r="B43" s="31">
        <v>1212.0</v>
      </c>
      <c r="O43" s="13" t="s">
        <v>374</v>
      </c>
      <c r="P43" s="41">
        <v>0.303</v>
      </c>
    </row>
    <row r="44">
      <c r="A44" s="11" t="s">
        <v>341</v>
      </c>
      <c r="B44" s="31">
        <v>210.0</v>
      </c>
      <c r="O44" s="13" t="s">
        <v>375</v>
      </c>
      <c r="P44" s="41">
        <v>0.167</v>
      </c>
    </row>
    <row r="45">
      <c r="O45" s="13" t="s">
        <v>376</v>
      </c>
      <c r="P45" s="41">
        <v>0.126</v>
      </c>
    </row>
    <row r="46">
      <c r="O46" s="13" t="s">
        <v>377</v>
      </c>
      <c r="P46" s="41">
        <v>0.185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28.88"/>
    <col customWidth="1" min="14" max="14" width="8.63"/>
    <col customWidth="1" min="16" max="16" width="30.5"/>
    <col customWidth="1" min="17" max="17" width="9.13"/>
  </cols>
  <sheetData>
    <row r="1">
      <c r="A1" s="28" t="s">
        <v>327</v>
      </c>
      <c r="K1" s="42"/>
      <c r="M1" s="43"/>
      <c r="O1" s="43" t="s">
        <v>328</v>
      </c>
    </row>
    <row r="2">
      <c r="O2" s="13" t="s">
        <v>329</v>
      </c>
      <c r="P2" s="41">
        <v>6897.0</v>
      </c>
    </row>
    <row r="3">
      <c r="A3" s="1" t="s">
        <v>380</v>
      </c>
      <c r="O3" s="13" t="s">
        <v>331</v>
      </c>
      <c r="P3" s="41">
        <v>5445.0</v>
      </c>
    </row>
    <row r="4">
      <c r="A4" s="44" t="s">
        <v>332</v>
      </c>
      <c r="B4" s="44" t="s">
        <v>333</v>
      </c>
      <c r="O4" s="13" t="s">
        <v>334</v>
      </c>
      <c r="P4" s="41">
        <v>6437.0</v>
      </c>
    </row>
    <row r="5">
      <c r="A5" s="11" t="s">
        <v>394</v>
      </c>
      <c r="B5" s="31">
        <v>1350.0</v>
      </c>
      <c r="O5" s="13" t="s">
        <v>336</v>
      </c>
      <c r="P5" s="41">
        <v>7675.0</v>
      </c>
    </row>
    <row r="6">
      <c r="A6" s="11" t="s">
        <v>339</v>
      </c>
      <c r="B6" s="31">
        <v>558.0</v>
      </c>
      <c r="O6" s="13" t="s">
        <v>338</v>
      </c>
      <c r="P6" s="41">
        <v>6952.0</v>
      </c>
    </row>
    <row r="7">
      <c r="A7" s="11" t="s">
        <v>341</v>
      </c>
      <c r="B7" s="31">
        <v>147.0</v>
      </c>
      <c r="O7" s="13" t="s">
        <v>340</v>
      </c>
      <c r="P7" s="41">
        <v>3555.0</v>
      </c>
    </row>
    <row r="8">
      <c r="O8" s="13" t="s">
        <v>342</v>
      </c>
      <c r="P8" s="41">
        <v>7335.0</v>
      </c>
    </row>
    <row r="9">
      <c r="O9" s="13" t="s">
        <v>343</v>
      </c>
      <c r="P9" s="41">
        <v>3163.0</v>
      </c>
    </row>
    <row r="10">
      <c r="O10" s="13" t="s">
        <v>344</v>
      </c>
      <c r="P10" s="41">
        <v>917.0</v>
      </c>
    </row>
    <row r="11">
      <c r="A11" s="1" t="s">
        <v>330</v>
      </c>
    </row>
    <row r="12">
      <c r="A12" s="44" t="s">
        <v>332</v>
      </c>
      <c r="B12" s="44" t="s">
        <v>333</v>
      </c>
    </row>
    <row r="13">
      <c r="A13" s="11" t="s">
        <v>395</v>
      </c>
      <c r="B13" s="31">
        <v>6763.0</v>
      </c>
      <c r="O13" s="43" t="s">
        <v>346</v>
      </c>
    </row>
    <row r="14">
      <c r="A14" s="11" t="s">
        <v>339</v>
      </c>
      <c r="B14" s="31">
        <v>1867.0</v>
      </c>
      <c r="O14" s="13" t="s">
        <v>348</v>
      </c>
      <c r="P14" s="41">
        <v>19877.0</v>
      </c>
    </row>
    <row r="15">
      <c r="A15" s="11" t="s">
        <v>341</v>
      </c>
      <c r="B15" s="31">
        <v>144.0</v>
      </c>
      <c r="O15" s="13" t="s">
        <v>349</v>
      </c>
      <c r="P15" s="41">
        <v>156.0</v>
      </c>
    </row>
    <row r="16">
      <c r="O16" s="13" t="s">
        <v>351</v>
      </c>
      <c r="P16" s="41">
        <v>329.0</v>
      </c>
    </row>
    <row r="17">
      <c r="O17" s="13" t="s">
        <v>352</v>
      </c>
      <c r="P17" s="41">
        <v>31.0</v>
      </c>
    </row>
    <row r="18">
      <c r="O18" s="13" t="s">
        <v>353</v>
      </c>
      <c r="P18" s="41">
        <v>564.0</v>
      </c>
    </row>
    <row r="19">
      <c r="A19" s="28" t="s">
        <v>345</v>
      </c>
      <c r="O19" s="13" t="s">
        <v>354</v>
      </c>
      <c r="P19" s="41">
        <v>3928.0</v>
      </c>
    </row>
    <row r="20">
      <c r="O20" s="13" t="s">
        <v>355</v>
      </c>
      <c r="P20" s="41">
        <v>2626.0</v>
      </c>
    </row>
    <row r="21">
      <c r="A21" s="1" t="s">
        <v>347</v>
      </c>
      <c r="O21" s="13" t="s">
        <v>356</v>
      </c>
      <c r="P21" s="41">
        <v>230.0</v>
      </c>
    </row>
    <row r="22">
      <c r="A22" s="44" t="s">
        <v>332</v>
      </c>
      <c r="B22" s="44" t="s">
        <v>333</v>
      </c>
      <c r="O22" s="13" t="s">
        <v>358</v>
      </c>
      <c r="P22" s="41">
        <v>5.0</v>
      </c>
    </row>
    <row r="23">
      <c r="A23" s="11" t="s">
        <v>396</v>
      </c>
      <c r="B23" s="31">
        <v>2017.0</v>
      </c>
      <c r="O23" s="13" t="s">
        <v>359</v>
      </c>
      <c r="P23" s="41">
        <v>986.0</v>
      </c>
    </row>
    <row r="24">
      <c r="A24" s="11" t="s">
        <v>339</v>
      </c>
      <c r="B24" s="31">
        <v>918.0</v>
      </c>
      <c r="O24" s="13" t="s">
        <v>360</v>
      </c>
      <c r="P24" s="41">
        <v>106.0</v>
      </c>
    </row>
    <row r="25">
      <c r="A25" s="11" t="s">
        <v>341</v>
      </c>
      <c r="B25" s="31">
        <v>136.0</v>
      </c>
      <c r="O25" s="13" t="s">
        <v>361</v>
      </c>
      <c r="P25" s="41">
        <v>6779.0</v>
      </c>
    </row>
    <row r="26">
      <c r="O26" s="13" t="s">
        <v>363</v>
      </c>
      <c r="P26" s="41">
        <v>50.0</v>
      </c>
    </row>
    <row r="27">
      <c r="O27" s="13" t="s">
        <v>364</v>
      </c>
      <c r="P27" s="41">
        <v>1269.0</v>
      </c>
    </row>
    <row r="28">
      <c r="O28" s="13" t="s">
        <v>365</v>
      </c>
      <c r="P28" s="41">
        <v>1360.0</v>
      </c>
    </row>
    <row r="29">
      <c r="A29" s="1" t="s">
        <v>357</v>
      </c>
      <c r="O29" s="13" t="s">
        <v>366</v>
      </c>
      <c r="P29" s="41">
        <v>308.0</v>
      </c>
    </row>
    <row r="30">
      <c r="A30" s="44" t="s">
        <v>332</v>
      </c>
      <c r="B30" s="44" t="s">
        <v>333</v>
      </c>
      <c r="O30" s="13" t="s">
        <v>367</v>
      </c>
      <c r="P30" s="41">
        <v>675.0</v>
      </c>
    </row>
    <row r="31">
      <c r="A31" s="11" t="s">
        <v>395</v>
      </c>
      <c r="B31" s="31">
        <v>6722.0</v>
      </c>
      <c r="O31" s="13" t="s">
        <v>368</v>
      </c>
      <c r="P31" s="41">
        <v>3270.0</v>
      </c>
    </row>
    <row r="32">
      <c r="A32" s="11" t="s">
        <v>397</v>
      </c>
      <c r="B32" s="31">
        <v>3739.0</v>
      </c>
      <c r="O32" s="13" t="s">
        <v>369</v>
      </c>
      <c r="P32" s="41">
        <v>985.0</v>
      </c>
    </row>
    <row r="33">
      <c r="A33" s="11" t="s">
        <v>398</v>
      </c>
      <c r="B33" s="31">
        <v>720.0</v>
      </c>
      <c r="O33" s="13" t="s">
        <v>370</v>
      </c>
      <c r="P33" s="41">
        <v>13.0</v>
      </c>
    </row>
    <row r="34">
      <c r="A34" s="11" t="s">
        <v>339</v>
      </c>
      <c r="B34" s="31">
        <v>701.0</v>
      </c>
      <c r="O34" s="13" t="s">
        <v>371</v>
      </c>
      <c r="P34" s="41">
        <v>66.0</v>
      </c>
    </row>
    <row r="35">
      <c r="A35" s="11" t="s">
        <v>341</v>
      </c>
      <c r="B35" s="31">
        <v>318.0</v>
      </c>
    </row>
    <row r="41">
      <c r="O41" s="43" t="s">
        <v>372</v>
      </c>
    </row>
    <row r="42">
      <c r="O42" s="13" t="s">
        <v>373</v>
      </c>
      <c r="P42" s="41">
        <v>0.253</v>
      </c>
    </row>
    <row r="43">
      <c r="O43" s="13" t="s">
        <v>374</v>
      </c>
      <c r="P43" s="41">
        <v>0.28400000000000003</v>
      </c>
    </row>
    <row r="44">
      <c r="O44" s="13" t="s">
        <v>375</v>
      </c>
      <c r="P44" s="41">
        <v>0.199</v>
      </c>
    </row>
    <row r="45">
      <c r="O45" s="13" t="s">
        <v>376</v>
      </c>
      <c r="P45" s="41">
        <v>0.105</v>
      </c>
    </row>
    <row r="46">
      <c r="O46" s="13" t="s">
        <v>377</v>
      </c>
      <c r="P46" s="41">
        <v>0.16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7.75"/>
    <col customWidth="1" min="16" max="16" width="30.5"/>
    <col customWidth="1" min="17" max="17" width="8.25"/>
  </cols>
  <sheetData>
    <row r="1">
      <c r="A1" s="43" t="s">
        <v>327</v>
      </c>
      <c r="M1" s="43"/>
      <c r="R1" s="43" t="s">
        <v>328</v>
      </c>
    </row>
    <row r="2">
      <c r="A2" s="45" t="s">
        <v>378</v>
      </c>
      <c r="R2" s="13" t="s">
        <v>329</v>
      </c>
      <c r="S2" s="41">
        <v>9153.0</v>
      </c>
    </row>
    <row r="3">
      <c r="R3" s="13" t="s">
        <v>331</v>
      </c>
      <c r="S3" s="41">
        <v>7401.0</v>
      </c>
    </row>
    <row r="4">
      <c r="R4" s="13" t="s">
        <v>334</v>
      </c>
      <c r="S4" s="41">
        <v>8428.0</v>
      </c>
    </row>
    <row r="5">
      <c r="R5" s="13" t="s">
        <v>336</v>
      </c>
      <c r="S5" s="41">
        <v>9734.0</v>
      </c>
    </row>
    <row r="6">
      <c r="R6" s="13" t="s">
        <v>338</v>
      </c>
      <c r="S6" s="41">
        <v>8905.0</v>
      </c>
    </row>
    <row r="7">
      <c r="R7" s="13" t="s">
        <v>340</v>
      </c>
      <c r="S7" s="41">
        <v>4559.0</v>
      </c>
    </row>
    <row r="8">
      <c r="R8" s="13" t="s">
        <v>342</v>
      </c>
      <c r="S8" s="41">
        <v>9991.0</v>
      </c>
    </row>
    <row r="9">
      <c r="R9" s="13" t="s">
        <v>343</v>
      </c>
      <c r="S9" s="41">
        <v>4703.0</v>
      </c>
    </row>
    <row r="10">
      <c r="R10" s="13" t="s">
        <v>344</v>
      </c>
      <c r="S10" s="41">
        <v>1712.0</v>
      </c>
    </row>
    <row r="11">
      <c r="V11" s="17">
        <f>sum(S2:S10)</f>
        <v>64586</v>
      </c>
    </row>
    <row r="13">
      <c r="R13" s="43" t="s">
        <v>346</v>
      </c>
    </row>
    <row r="14">
      <c r="R14" s="13" t="s">
        <v>348</v>
      </c>
      <c r="S14" s="41">
        <v>22151.0</v>
      </c>
    </row>
    <row r="15">
      <c r="R15" s="13" t="s">
        <v>349</v>
      </c>
      <c r="S15" s="41">
        <v>466.0</v>
      </c>
    </row>
    <row r="16">
      <c r="R16" s="13" t="s">
        <v>351</v>
      </c>
      <c r="S16" s="41">
        <v>137.0</v>
      </c>
    </row>
    <row r="17">
      <c r="R17" s="13" t="s">
        <v>352</v>
      </c>
      <c r="S17" s="41">
        <v>43.0</v>
      </c>
    </row>
    <row r="18">
      <c r="R18" s="13" t="s">
        <v>353</v>
      </c>
      <c r="S18" s="41">
        <v>513.0</v>
      </c>
    </row>
    <row r="19">
      <c r="R19" s="13" t="s">
        <v>354</v>
      </c>
      <c r="S19" s="41">
        <v>12506.0</v>
      </c>
    </row>
    <row r="20">
      <c r="A20" s="43" t="s">
        <v>345</v>
      </c>
      <c r="R20" s="13" t="s">
        <v>355</v>
      </c>
      <c r="S20" s="41">
        <v>6722.0</v>
      </c>
    </row>
    <row r="21">
      <c r="A21" s="1" t="s">
        <v>399</v>
      </c>
      <c r="B21" s="1" t="s">
        <v>400</v>
      </c>
      <c r="R21" s="13" t="s">
        <v>356</v>
      </c>
      <c r="S21" s="41">
        <v>189.0</v>
      </c>
    </row>
    <row r="22">
      <c r="A22" s="13" t="s">
        <v>401</v>
      </c>
      <c r="B22" s="41">
        <v>115.0</v>
      </c>
      <c r="R22" s="13" t="s">
        <v>358</v>
      </c>
      <c r="S22" s="41">
        <v>47.0</v>
      </c>
    </row>
    <row r="23">
      <c r="A23" s="13" t="s">
        <v>402</v>
      </c>
      <c r="B23" s="41">
        <v>2159.0</v>
      </c>
      <c r="R23" s="13" t="s">
        <v>359</v>
      </c>
      <c r="S23" s="41">
        <v>1780.0</v>
      </c>
    </row>
    <row r="24">
      <c r="A24" s="13" t="s">
        <v>403</v>
      </c>
      <c r="B24" s="41">
        <v>10466.0</v>
      </c>
      <c r="R24" s="13" t="s">
        <v>360</v>
      </c>
      <c r="S24" s="41">
        <v>170.0</v>
      </c>
    </row>
    <row r="25">
      <c r="A25" s="13" t="s">
        <v>341</v>
      </c>
      <c r="B25" s="41">
        <v>180.0</v>
      </c>
      <c r="R25" s="13" t="s">
        <v>361</v>
      </c>
      <c r="S25" s="41">
        <v>5546.0</v>
      </c>
    </row>
    <row r="26">
      <c r="A26" s="13" t="s">
        <v>339</v>
      </c>
      <c r="B26" s="41">
        <v>32.0</v>
      </c>
      <c r="R26" s="13" t="s">
        <v>363</v>
      </c>
      <c r="S26" s="41">
        <v>137.0</v>
      </c>
    </row>
    <row r="27">
      <c r="R27" s="13" t="s">
        <v>364</v>
      </c>
      <c r="S27" s="41">
        <v>1685.0</v>
      </c>
    </row>
    <row r="28">
      <c r="R28" s="13" t="s">
        <v>365</v>
      </c>
      <c r="S28" s="41">
        <v>1087.0</v>
      </c>
    </row>
    <row r="29">
      <c r="A29" s="13" t="s">
        <v>0</v>
      </c>
      <c r="B29" s="17">
        <f>((sum(B22:B27)*1.3)/2)</f>
        <v>8418.8</v>
      </c>
      <c r="R29" s="13" t="s">
        <v>366</v>
      </c>
      <c r="S29" s="41">
        <v>210.0</v>
      </c>
    </row>
    <row r="30">
      <c r="R30" s="13" t="s">
        <v>367</v>
      </c>
      <c r="S30" s="41">
        <v>828.0</v>
      </c>
    </row>
    <row r="31">
      <c r="R31" s="13" t="s">
        <v>368</v>
      </c>
      <c r="S31" s="41">
        <v>3919.0</v>
      </c>
    </row>
    <row r="32">
      <c r="R32" s="13" t="s">
        <v>369</v>
      </c>
      <c r="S32" s="41">
        <v>1104.0</v>
      </c>
    </row>
    <row r="33">
      <c r="R33" s="13" t="s">
        <v>370</v>
      </c>
      <c r="S33" s="41">
        <v>16.0</v>
      </c>
    </row>
    <row r="34">
      <c r="R34" s="13" t="s">
        <v>371</v>
      </c>
      <c r="S34" s="41">
        <v>0.0</v>
      </c>
    </row>
    <row r="41">
      <c r="R41" s="43" t="s">
        <v>372</v>
      </c>
    </row>
    <row r="42">
      <c r="R42" s="13" t="s">
        <v>373</v>
      </c>
      <c r="S42" s="41">
        <v>0.225</v>
      </c>
    </row>
    <row r="43">
      <c r="R43" s="13" t="s">
        <v>374</v>
      </c>
      <c r="S43" s="41">
        <v>0.304</v>
      </c>
    </row>
    <row r="44">
      <c r="R44" s="13" t="s">
        <v>375</v>
      </c>
      <c r="S44" s="41">
        <v>0.201</v>
      </c>
    </row>
    <row r="45">
      <c r="R45" s="13" t="s">
        <v>376</v>
      </c>
      <c r="S45" s="41">
        <v>0.117</v>
      </c>
    </row>
    <row r="46">
      <c r="R46" s="13" t="s">
        <v>377</v>
      </c>
      <c r="S46" s="41">
        <v>0.153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9" max="9" width="0.38"/>
    <col customWidth="1" min="10" max="10" width="53.13"/>
    <col customWidth="1" min="11" max="11" width="5.5"/>
    <col customWidth="1" min="13" max="13" width="19.25"/>
    <col customWidth="1" min="14" max="14" width="54.88"/>
    <col customWidth="1" min="16" max="16" width="30.5"/>
    <col customWidth="1" min="17" max="17" width="9.13"/>
  </cols>
  <sheetData>
    <row r="1">
      <c r="A1" s="43" t="s">
        <v>327</v>
      </c>
      <c r="M1" s="43"/>
      <c r="O1" s="43" t="s">
        <v>328</v>
      </c>
    </row>
    <row r="2">
      <c r="A2" s="45" t="s">
        <v>378</v>
      </c>
      <c r="J2" s="43"/>
      <c r="O2" s="13" t="s">
        <v>329</v>
      </c>
      <c r="P2" s="41">
        <v>5361.0</v>
      </c>
    </row>
    <row r="3">
      <c r="O3" s="13" t="s">
        <v>331</v>
      </c>
      <c r="P3" s="41">
        <v>4901.0</v>
      </c>
    </row>
    <row r="4">
      <c r="O4" s="13" t="s">
        <v>334</v>
      </c>
      <c r="P4" s="41">
        <v>4907.0</v>
      </c>
    </row>
    <row r="5">
      <c r="O5" s="13" t="s">
        <v>336</v>
      </c>
      <c r="P5" s="41">
        <v>5767.0</v>
      </c>
    </row>
    <row r="6">
      <c r="O6" s="13" t="s">
        <v>338</v>
      </c>
      <c r="P6" s="41">
        <v>7647.0</v>
      </c>
    </row>
    <row r="7">
      <c r="O7" s="13" t="s">
        <v>340</v>
      </c>
      <c r="P7" s="41">
        <v>3426.0</v>
      </c>
    </row>
    <row r="8">
      <c r="O8" s="13" t="s">
        <v>342</v>
      </c>
      <c r="P8" s="41">
        <v>7062.0</v>
      </c>
    </row>
    <row r="9">
      <c r="O9" s="13" t="s">
        <v>343</v>
      </c>
      <c r="P9" s="41">
        <v>4887.0</v>
      </c>
    </row>
    <row r="10">
      <c r="O10" s="13" t="s">
        <v>344</v>
      </c>
      <c r="P10" s="41">
        <v>2904.0</v>
      </c>
    </row>
    <row r="13">
      <c r="O13" s="43" t="s">
        <v>346</v>
      </c>
    </row>
    <row r="14">
      <c r="O14" s="13" t="s">
        <v>348</v>
      </c>
      <c r="P14" s="41">
        <v>12128.0</v>
      </c>
    </row>
    <row r="15">
      <c r="O15" s="13" t="s">
        <v>349</v>
      </c>
      <c r="P15" s="41">
        <v>275.0</v>
      </c>
    </row>
    <row r="16">
      <c r="O16" s="13" t="s">
        <v>351</v>
      </c>
      <c r="P16" s="41">
        <v>68.0</v>
      </c>
    </row>
    <row r="17">
      <c r="O17" s="13" t="s">
        <v>352</v>
      </c>
      <c r="P17" s="41">
        <v>156.0</v>
      </c>
    </row>
    <row r="18">
      <c r="O18" s="13" t="s">
        <v>353</v>
      </c>
      <c r="P18" s="41">
        <v>6345.0</v>
      </c>
    </row>
    <row r="19">
      <c r="O19" s="13" t="s">
        <v>354</v>
      </c>
      <c r="P19" s="41">
        <v>1252.0</v>
      </c>
    </row>
    <row r="20">
      <c r="A20" s="43" t="s">
        <v>345</v>
      </c>
      <c r="O20" s="13" t="s">
        <v>355</v>
      </c>
      <c r="P20" s="41">
        <v>12920.0</v>
      </c>
    </row>
    <row r="21">
      <c r="A21" s="1" t="s">
        <v>399</v>
      </c>
      <c r="B21" s="1" t="s">
        <v>400</v>
      </c>
      <c r="O21" s="13" t="s">
        <v>356</v>
      </c>
      <c r="P21" s="41">
        <v>1427.0</v>
      </c>
    </row>
    <row r="22">
      <c r="A22" s="13" t="s">
        <v>404</v>
      </c>
      <c r="B22" s="41">
        <v>33.0</v>
      </c>
      <c r="O22" s="13" t="s">
        <v>358</v>
      </c>
      <c r="P22" s="41">
        <v>608.0</v>
      </c>
    </row>
    <row r="23">
      <c r="A23" s="13" t="s">
        <v>405</v>
      </c>
      <c r="B23" s="41">
        <v>2183.0</v>
      </c>
      <c r="O23" s="13" t="s">
        <v>359</v>
      </c>
      <c r="P23" s="41">
        <v>3812.0</v>
      </c>
    </row>
    <row r="24">
      <c r="A24" s="13" t="s">
        <v>406</v>
      </c>
      <c r="B24" s="41">
        <v>11550.0</v>
      </c>
      <c r="O24" s="13" t="s">
        <v>360</v>
      </c>
      <c r="P24" s="41">
        <v>16.0</v>
      </c>
    </row>
    <row r="25">
      <c r="A25" s="13" t="s">
        <v>341</v>
      </c>
      <c r="B25" s="41">
        <v>70.0</v>
      </c>
      <c r="O25" s="13" t="s">
        <v>361</v>
      </c>
      <c r="P25" s="41">
        <v>1438.0</v>
      </c>
    </row>
    <row r="26">
      <c r="A26" s="13" t="s">
        <v>339</v>
      </c>
      <c r="B26" s="41">
        <v>78.0</v>
      </c>
      <c r="O26" s="13" t="s">
        <v>363</v>
      </c>
      <c r="P26" s="41">
        <v>153.0</v>
      </c>
    </row>
    <row r="27">
      <c r="O27" s="13" t="s">
        <v>364</v>
      </c>
      <c r="P27" s="41">
        <v>611.0</v>
      </c>
    </row>
    <row r="28">
      <c r="O28" s="13" t="s">
        <v>365</v>
      </c>
      <c r="P28" s="41">
        <v>284.0</v>
      </c>
    </row>
    <row r="29">
      <c r="B29" s="17">
        <f>((sum(B22:B27)/2 +(0.2*sum(B22:B26))))</f>
        <v>9739.8</v>
      </c>
      <c r="O29" s="13" t="s">
        <v>366</v>
      </c>
      <c r="P29" s="41">
        <v>151.0</v>
      </c>
    </row>
    <row r="30">
      <c r="O30" s="13" t="s">
        <v>367</v>
      </c>
      <c r="P30" s="41">
        <v>160.0</v>
      </c>
    </row>
    <row r="31">
      <c r="O31" s="13" t="s">
        <v>368</v>
      </c>
      <c r="P31" s="41">
        <v>3988.0</v>
      </c>
    </row>
    <row r="32">
      <c r="O32" s="13" t="s">
        <v>369</v>
      </c>
      <c r="P32" s="41">
        <v>609.0</v>
      </c>
    </row>
    <row r="33">
      <c r="O33" s="13" t="s">
        <v>370</v>
      </c>
      <c r="P33" s="41">
        <v>0.0</v>
      </c>
    </row>
    <row r="34">
      <c r="O34" s="13" t="s">
        <v>371</v>
      </c>
      <c r="P34" s="41">
        <v>4.0</v>
      </c>
    </row>
    <row r="41">
      <c r="O41" s="43" t="s">
        <v>372</v>
      </c>
    </row>
    <row r="42">
      <c r="O42" s="13" t="s">
        <v>373</v>
      </c>
      <c r="P42" s="41">
        <v>0.15399999999999997</v>
      </c>
    </row>
    <row r="43">
      <c r="O43" s="13" t="s">
        <v>374</v>
      </c>
      <c r="P43" s="41">
        <v>0.188</v>
      </c>
    </row>
    <row r="44">
      <c r="O44" s="13" t="s">
        <v>375</v>
      </c>
      <c r="P44" s="41">
        <v>0.172</v>
      </c>
    </row>
    <row r="45">
      <c r="O45" s="13" t="s">
        <v>376</v>
      </c>
      <c r="P45" s="41">
        <v>0.153</v>
      </c>
    </row>
    <row r="46">
      <c r="O46" s="13" t="s">
        <v>377</v>
      </c>
      <c r="P46" s="41">
        <v>0.333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8.63"/>
    <col customWidth="1" min="16" max="16" width="30.5"/>
    <col customWidth="1" min="17" max="17" width="9.13"/>
  </cols>
  <sheetData>
    <row r="1">
      <c r="A1" s="43" t="s">
        <v>327</v>
      </c>
      <c r="M1" s="43"/>
      <c r="P1" s="43" t="s">
        <v>328</v>
      </c>
    </row>
    <row r="2">
      <c r="A2" s="45" t="s">
        <v>378</v>
      </c>
      <c r="P2" s="13" t="s">
        <v>329</v>
      </c>
      <c r="Q2" s="41">
        <v>3966.0</v>
      </c>
    </row>
    <row r="3">
      <c r="P3" s="13" t="s">
        <v>331</v>
      </c>
      <c r="Q3" s="41">
        <v>5964.0</v>
      </c>
    </row>
    <row r="4">
      <c r="P4" s="13" t="s">
        <v>334</v>
      </c>
      <c r="Q4" s="41">
        <v>8288.0</v>
      </c>
    </row>
    <row r="5">
      <c r="P5" s="13" t="s">
        <v>336</v>
      </c>
      <c r="Q5" s="41">
        <v>7349.0</v>
      </c>
    </row>
    <row r="6">
      <c r="P6" s="13" t="s">
        <v>338</v>
      </c>
      <c r="Q6" s="41">
        <v>6876.0</v>
      </c>
    </row>
    <row r="7">
      <c r="P7" s="13" t="s">
        <v>340</v>
      </c>
      <c r="Q7" s="41">
        <v>3159.0</v>
      </c>
    </row>
    <row r="8">
      <c r="P8" s="13" t="s">
        <v>342</v>
      </c>
      <c r="Q8" s="41">
        <v>7094.0</v>
      </c>
    </row>
    <row r="9">
      <c r="P9" s="13" t="s">
        <v>343</v>
      </c>
      <c r="Q9" s="41">
        <v>3456.0</v>
      </c>
    </row>
    <row r="10">
      <c r="P10" s="13" t="s">
        <v>344</v>
      </c>
      <c r="Q10" s="41">
        <v>1672.0</v>
      </c>
    </row>
    <row r="13">
      <c r="P13" s="43" t="s">
        <v>346</v>
      </c>
    </row>
    <row r="14">
      <c r="P14" s="13" t="s">
        <v>348</v>
      </c>
      <c r="Q14" s="41">
        <v>9303.0</v>
      </c>
    </row>
    <row r="15">
      <c r="P15" s="13" t="s">
        <v>349</v>
      </c>
      <c r="Q15" s="41">
        <v>775.0</v>
      </c>
    </row>
    <row r="16">
      <c r="P16" s="13" t="s">
        <v>351</v>
      </c>
      <c r="Q16" s="41">
        <v>51.0</v>
      </c>
    </row>
    <row r="17">
      <c r="P17" s="13" t="s">
        <v>352</v>
      </c>
      <c r="Q17" s="41">
        <v>302.0</v>
      </c>
    </row>
    <row r="18">
      <c r="P18" s="13" t="s">
        <v>353</v>
      </c>
      <c r="Q18" s="41">
        <v>5954.0</v>
      </c>
    </row>
    <row r="19">
      <c r="P19" s="13" t="s">
        <v>354</v>
      </c>
      <c r="Q19" s="41">
        <v>3101.0</v>
      </c>
    </row>
    <row r="20">
      <c r="A20" s="43" t="s">
        <v>345</v>
      </c>
      <c r="P20" s="13" t="s">
        <v>355</v>
      </c>
      <c r="Q20" s="41">
        <v>12488.0</v>
      </c>
    </row>
    <row r="21">
      <c r="A21" s="1" t="s">
        <v>399</v>
      </c>
      <c r="B21" s="1" t="s">
        <v>400</v>
      </c>
      <c r="P21" s="13" t="s">
        <v>356</v>
      </c>
      <c r="Q21" s="41">
        <v>1240.0</v>
      </c>
    </row>
    <row r="22">
      <c r="A22" s="13" t="s">
        <v>407</v>
      </c>
      <c r="B22" s="41">
        <v>1334.0</v>
      </c>
      <c r="P22" s="13" t="s">
        <v>358</v>
      </c>
      <c r="Q22" s="41">
        <v>1439.0</v>
      </c>
    </row>
    <row r="23">
      <c r="A23" s="13" t="s">
        <v>408</v>
      </c>
      <c r="B23" s="41">
        <v>387.0</v>
      </c>
      <c r="P23" s="13" t="s">
        <v>359</v>
      </c>
      <c r="Q23" s="41">
        <v>3489.0</v>
      </c>
    </row>
    <row r="24">
      <c r="A24" s="13" t="s">
        <v>409</v>
      </c>
      <c r="B24" s="41">
        <v>8321.0</v>
      </c>
      <c r="P24" s="13" t="s">
        <v>360</v>
      </c>
      <c r="Q24" s="41">
        <v>136.0</v>
      </c>
    </row>
    <row r="25">
      <c r="A25" s="13" t="s">
        <v>341</v>
      </c>
      <c r="B25" s="41">
        <v>116.0</v>
      </c>
      <c r="P25" s="13" t="s">
        <v>361</v>
      </c>
      <c r="Q25" s="41">
        <v>1702.0</v>
      </c>
    </row>
    <row r="26">
      <c r="A26" s="13" t="s">
        <v>339</v>
      </c>
      <c r="B26" s="41">
        <v>506.0</v>
      </c>
      <c r="P26" s="13" t="s">
        <v>363</v>
      </c>
      <c r="Q26" s="41">
        <v>325.0</v>
      </c>
    </row>
    <row r="27">
      <c r="P27" s="13" t="s">
        <v>364</v>
      </c>
      <c r="Q27" s="41">
        <v>2201.0</v>
      </c>
    </row>
    <row r="28">
      <c r="P28" s="13" t="s">
        <v>365</v>
      </c>
      <c r="Q28" s="41">
        <v>882.0</v>
      </c>
    </row>
    <row r="29">
      <c r="P29" s="13" t="s">
        <v>366</v>
      </c>
      <c r="Q29" s="41">
        <v>188.0</v>
      </c>
    </row>
    <row r="30">
      <c r="P30" s="13" t="s">
        <v>367</v>
      </c>
      <c r="Q30" s="41">
        <v>177.0</v>
      </c>
    </row>
    <row r="31">
      <c r="P31" s="13" t="s">
        <v>368</v>
      </c>
      <c r="Q31" s="41">
        <v>2973.0</v>
      </c>
    </row>
    <row r="32">
      <c r="P32" s="13" t="s">
        <v>369</v>
      </c>
      <c r="Q32" s="41">
        <v>446.0</v>
      </c>
    </row>
    <row r="33">
      <c r="P33" s="13" t="s">
        <v>370</v>
      </c>
      <c r="Q33" s="41">
        <v>0.0</v>
      </c>
    </row>
    <row r="34">
      <c r="P34" s="13" t="s">
        <v>371</v>
      </c>
      <c r="Q34" s="41">
        <v>104.0</v>
      </c>
    </row>
    <row r="41">
      <c r="P41" s="43" t="s">
        <v>372</v>
      </c>
    </row>
    <row r="42">
      <c r="P42" s="13" t="s">
        <v>373</v>
      </c>
      <c r="Q42" s="41">
        <v>0.268</v>
      </c>
    </row>
    <row r="43">
      <c r="P43" s="13" t="s">
        <v>374</v>
      </c>
      <c r="Q43" s="41">
        <v>0.305</v>
      </c>
    </row>
    <row r="44">
      <c r="P44" s="13" t="s">
        <v>375</v>
      </c>
      <c r="Q44" s="41">
        <v>0.171</v>
      </c>
    </row>
    <row r="45">
      <c r="P45" s="13" t="s">
        <v>376</v>
      </c>
      <c r="Q45" s="41">
        <v>0.108</v>
      </c>
    </row>
    <row r="46">
      <c r="P46" s="13" t="s">
        <v>377</v>
      </c>
      <c r="Q46" s="41">
        <v>0.148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6.88"/>
    <col customWidth="1" min="16" max="16" width="30.5"/>
    <col customWidth="1" min="17" max="17" width="7.25"/>
  </cols>
  <sheetData>
    <row r="1">
      <c r="A1" s="43" t="s">
        <v>327</v>
      </c>
      <c r="M1" s="43"/>
      <c r="P1" s="43"/>
      <c r="Q1" s="43" t="s">
        <v>328</v>
      </c>
    </row>
    <row r="2">
      <c r="A2" s="45" t="s">
        <v>378</v>
      </c>
      <c r="Q2" s="13" t="s">
        <v>329</v>
      </c>
      <c r="R2" s="41">
        <v>4332.0</v>
      </c>
    </row>
    <row r="3">
      <c r="Q3" s="13" t="s">
        <v>331</v>
      </c>
      <c r="R3" s="41">
        <v>7163.0</v>
      </c>
    </row>
    <row r="4">
      <c r="Q4" s="13" t="s">
        <v>334</v>
      </c>
      <c r="R4" s="41">
        <v>8724.0</v>
      </c>
    </row>
    <row r="5">
      <c r="Q5" s="13" t="s">
        <v>336</v>
      </c>
      <c r="R5" s="41">
        <v>8040.0</v>
      </c>
    </row>
    <row r="6">
      <c r="Q6" s="13" t="s">
        <v>338</v>
      </c>
      <c r="R6" s="41">
        <v>6775.0</v>
      </c>
    </row>
    <row r="7">
      <c r="Q7" s="13" t="s">
        <v>340</v>
      </c>
      <c r="R7" s="41">
        <v>3399.0</v>
      </c>
    </row>
    <row r="8">
      <c r="Q8" s="13" t="s">
        <v>342</v>
      </c>
      <c r="R8" s="41">
        <v>6993.0</v>
      </c>
    </row>
    <row r="9">
      <c r="Q9" s="13" t="s">
        <v>343</v>
      </c>
      <c r="R9" s="41">
        <v>4048.0</v>
      </c>
    </row>
    <row r="10">
      <c r="Q10" s="13" t="s">
        <v>344</v>
      </c>
      <c r="R10" s="41">
        <v>2669.0</v>
      </c>
    </row>
    <row r="13">
      <c r="Q13" s="43" t="s">
        <v>346</v>
      </c>
    </row>
    <row r="14">
      <c r="Q14" s="13" t="s">
        <v>348</v>
      </c>
      <c r="R14" s="41">
        <v>12078.0</v>
      </c>
    </row>
    <row r="15">
      <c r="Q15" s="13" t="s">
        <v>349</v>
      </c>
      <c r="R15" s="41">
        <v>895.0</v>
      </c>
    </row>
    <row r="16">
      <c r="Q16" s="13" t="s">
        <v>351</v>
      </c>
      <c r="R16" s="41">
        <v>107.0</v>
      </c>
    </row>
    <row r="17">
      <c r="Q17" s="13" t="s">
        <v>352</v>
      </c>
      <c r="R17" s="41">
        <v>335.0</v>
      </c>
    </row>
    <row r="18">
      <c r="Q18" s="13" t="s">
        <v>353</v>
      </c>
      <c r="R18" s="41">
        <v>5018.0</v>
      </c>
    </row>
    <row r="19">
      <c r="Q19" s="13" t="s">
        <v>354</v>
      </c>
      <c r="R19" s="41">
        <v>2576.0</v>
      </c>
    </row>
    <row r="20">
      <c r="A20" s="43" t="s">
        <v>345</v>
      </c>
      <c r="Q20" s="13" t="s">
        <v>355</v>
      </c>
      <c r="R20" s="41">
        <v>11218.0</v>
      </c>
    </row>
    <row r="21">
      <c r="A21" s="1" t="s">
        <v>399</v>
      </c>
      <c r="B21" s="1" t="s">
        <v>400</v>
      </c>
      <c r="Q21" s="13" t="s">
        <v>356</v>
      </c>
      <c r="R21" s="41">
        <v>2928.0</v>
      </c>
    </row>
    <row r="22">
      <c r="A22" s="13" t="s">
        <v>410</v>
      </c>
      <c r="B22" s="41">
        <v>1491.0</v>
      </c>
      <c r="Q22" s="13" t="s">
        <v>358</v>
      </c>
      <c r="R22" s="41">
        <v>1194.0</v>
      </c>
    </row>
    <row r="23">
      <c r="A23" s="13" t="s">
        <v>411</v>
      </c>
      <c r="B23" s="41">
        <v>7914.0</v>
      </c>
      <c r="Q23" s="13" t="s">
        <v>359</v>
      </c>
      <c r="R23" s="41">
        <v>4041.0</v>
      </c>
    </row>
    <row r="24">
      <c r="A24" s="13" t="s">
        <v>412</v>
      </c>
      <c r="B24" s="41">
        <v>4176.0</v>
      </c>
      <c r="Q24" s="13" t="s">
        <v>360</v>
      </c>
      <c r="R24" s="41">
        <v>29.0</v>
      </c>
    </row>
    <row r="25">
      <c r="A25" s="13" t="s">
        <v>341</v>
      </c>
      <c r="B25" s="41">
        <v>74.0</v>
      </c>
      <c r="Q25" s="13" t="s">
        <v>361</v>
      </c>
      <c r="R25" s="41">
        <v>2226.0</v>
      </c>
    </row>
    <row r="26">
      <c r="A26" s="13" t="s">
        <v>339</v>
      </c>
      <c r="B26" s="41">
        <v>707.0</v>
      </c>
      <c r="Q26" s="13" t="s">
        <v>363</v>
      </c>
      <c r="R26" s="41">
        <v>525.0</v>
      </c>
    </row>
    <row r="27">
      <c r="Q27" s="13" t="s">
        <v>364</v>
      </c>
      <c r="R27" s="41">
        <v>2846.0</v>
      </c>
    </row>
    <row r="28">
      <c r="Q28" s="13" t="s">
        <v>365</v>
      </c>
      <c r="R28" s="41">
        <v>702.0</v>
      </c>
    </row>
    <row r="29">
      <c r="Q29" s="13" t="s">
        <v>366</v>
      </c>
      <c r="R29" s="41">
        <v>281.0</v>
      </c>
    </row>
    <row r="30">
      <c r="Q30" s="13" t="s">
        <v>367</v>
      </c>
      <c r="R30" s="41">
        <v>108.0</v>
      </c>
    </row>
    <row r="31">
      <c r="Q31" s="13" t="s">
        <v>368</v>
      </c>
      <c r="R31" s="41">
        <v>3498.0</v>
      </c>
    </row>
    <row r="32">
      <c r="Q32" s="13" t="s">
        <v>369</v>
      </c>
      <c r="R32" s="41">
        <v>448.0</v>
      </c>
    </row>
    <row r="33">
      <c r="Q33" s="13" t="s">
        <v>370</v>
      </c>
      <c r="R33" s="41">
        <v>50.0</v>
      </c>
    </row>
    <row r="34">
      <c r="Q34" s="13" t="s">
        <v>371</v>
      </c>
      <c r="R34" s="41">
        <v>28.0</v>
      </c>
    </row>
    <row r="41">
      <c r="Q41" s="43" t="s">
        <v>372</v>
      </c>
    </row>
    <row r="42">
      <c r="Q42" s="13" t="s">
        <v>373</v>
      </c>
      <c r="R42" s="41">
        <v>0.273</v>
      </c>
    </row>
    <row r="43">
      <c r="Q43" s="13" t="s">
        <v>374</v>
      </c>
      <c r="R43" s="41">
        <v>0.291</v>
      </c>
    </row>
    <row r="44">
      <c r="Q44" s="13" t="s">
        <v>375</v>
      </c>
      <c r="R44" s="41">
        <v>0.172</v>
      </c>
    </row>
    <row r="45">
      <c r="Q45" s="13" t="s">
        <v>376</v>
      </c>
      <c r="R45" s="41">
        <v>0.097</v>
      </c>
    </row>
    <row r="46">
      <c r="Q46" s="13" t="s">
        <v>377</v>
      </c>
      <c r="R46" s="41">
        <v>0.169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19.25"/>
    <col customWidth="1" min="14" max="14" width="8.63"/>
    <col customWidth="1" min="16" max="16" width="30.5"/>
    <col customWidth="1" min="17" max="17" width="9.13"/>
  </cols>
  <sheetData>
    <row r="1">
      <c r="A1" s="28" t="s">
        <v>327</v>
      </c>
      <c r="K1" s="42"/>
      <c r="M1" s="43"/>
      <c r="O1" s="43" t="s">
        <v>328</v>
      </c>
    </row>
    <row r="2">
      <c r="O2" s="13" t="s">
        <v>329</v>
      </c>
      <c r="P2" s="41">
        <v>2487.0</v>
      </c>
    </row>
    <row r="3">
      <c r="A3" s="1" t="s">
        <v>380</v>
      </c>
      <c r="O3" s="13" t="s">
        <v>331</v>
      </c>
      <c r="P3" s="41">
        <v>3770.0</v>
      </c>
    </row>
    <row r="4">
      <c r="A4" s="44" t="s">
        <v>332</v>
      </c>
      <c r="B4" s="44" t="s">
        <v>333</v>
      </c>
      <c r="O4" s="13" t="s">
        <v>334</v>
      </c>
      <c r="P4" s="41">
        <v>8845.0</v>
      </c>
    </row>
    <row r="5">
      <c r="A5" s="11" t="s">
        <v>413</v>
      </c>
      <c r="B5" s="31">
        <v>1197.0</v>
      </c>
      <c r="O5" s="13" t="s">
        <v>336</v>
      </c>
      <c r="P5" s="41">
        <v>9641.0</v>
      </c>
    </row>
    <row r="6">
      <c r="A6" s="11" t="s">
        <v>339</v>
      </c>
      <c r="B6" s="31">
        <v>650.0</v>
      </c>
      <c r="O6" s="13" t="s">
        <v>338</v>
      </c>
      <c r="P6" s="41">
        <v>8427.0</v>
      </c>
    </row>
    <row r="7">
      <c r="A7" s="11" t="s">
        <v>341</v>
      </c>
      <c r="B7" s="31">
        <v>113.0</v>
      </c>
      <c r="O7" s="13" t="s">
        <v>340</v>
      </c>
      <c r="P7" s="41">
        <v>3927.0</v>
      </c>
    </row>
    <row r="8">
      <c r="O8" s="13" t="s">
        <v>342</v>
      </c>
      <c r="P8" s="41">
        <v>7435.0</v>
      </c>
    </row>
    <row r="9">
      <c r="O9" s="13" t="s">
        <v>343</v>
      </c>
      <c r="P9" s="41">
        <v>3515.0</v>
      </c>
    </row>
    <row r="10">
      <c r="O10" s="13" t="s">
        <v>344</v>
      </c>
      <c r="P10" s="41">
        <v>1547.0</v>
      </c>
    </row>
    <row r="11">
      <c r="A11" s="1" t="s">
        <v>330</v>
      </c>
    </row>
    <row r="12">
      <c r="A12" s="44" t="s">
        <v>332</v>
      </c>
      <c r="B12" s="44" t="s">
        <v>333</v>
      </c>
    </row>
    <row r="13">
      <c r="A13" s="11" t="s">
        <v>414</v>
      </c>
      <c r="B13" s="31">
        <v>6167.0</v>
      </c>
      <c r="O13" s="43" t="s">
        <v>346</v>
      </c>
    </row>
    <row r="14">
      <c r="A14" s="11" t="s">
        <v>339</v>
      </c>
      <c r="B14" s="31">
        <v>1865.0</v>
      </c>
      <c r="O14" s="13" t="s">
        <v>348</v>
      </c>
      <c r="P14" s="41">
        <v>12808.0</v>
      </c>
    </row>
    <row r="15">
      <c r="A15" s="11" t="s">
        <v>341</v>
      </c>
      <c r="B15" s="31">
        <v>155.0</v>
      </c>
      <c r="O15" s="13" t="s">
        <v>349</v>
      </c>
      <c r="P15" s="41">
        <v>1115.0</v>
      </c>
    </row>
    <row r="16">
      <c r="O16" s="13" t="s">
        <v>351</v>
      </c>
      <c r="P16" s="41">
        <v>25.0</v>
      </c>
    </row>
    <row r="17">
      <c r="O17" s="13" t="s">
        <v>352</v>
      </c>
      <c r="P17" s="41">
        <v>432.0</v>
      </c>
    </row>
    <row r="18">
      <c r="O18" s="13" t="s">
        <v>353</v>
      </c>
      <c r="P18" s="41">
        <v>5690.0</v>
      </c>
    </row>
    <row r="19">
      <c r="A19" s="28" t="s">
        <v>345</v>
      </c>
      <c r="O19" s="13" t="s">
        <v>354</v>
      </c>
      <c r="P19" s="41">
        <v>2965.0</v>
      </c>
    </row>
    <row r="20">
      <c r="O20" s="13" t="s">
        <v>355</v>
      </c>
      <c r="P20" s="41">
        <v>10808.0</v>
      </c>
    </row>
    <row r="21">
      <c r="A21" s="1" t="s">
        <v>347</v>
      </c>
      <c r="O21" s="13" t="s">
        <v>356</v>
      </c>
      <c r="P21" s="41">
        <v>4586.0</v>
      </c>
    </row>
    <row r="22">
      <c r="A22" s="44" t="s">
        <v>332</v>
      </c>
      <c r="B22" s="44" t="s">
        <v>333</v>
      </c>
      <c r="O22" s="13" t="s">
        <v>358</v>
      </c>
      <c r="P22" s="41">
        <v>1986.0</v>
      </c>
    </row>
    <row r="23">
      <c r="A23" s="11" t="s">
        <v>415</v>
      </c>
      <c r="B23" s="31">
        <v>1502.0</v>
      </c>
      <c r="O23" s="13" t="s">
        <v>359</v>
      </c>
      <c r="P23" s="41">
        <v>3070.0</v>
      </c>
    </row>
    <row r="24">
      <c r="A24" s="11" t="s">
        <v>339</v>
      </c>
      <c r="B24" s="31">
        <v>671.0</v>
      </c>
      <c r="O24" s="13" t="s">
        <v>360</v>
      </c>
      <c r="P24" s="41">
        <v>120.0</v>
      </c>
    </row>
    <row r="25">
      <c r="A25" s="11" t="s">
        <v>341</v>
      </c>
      <c r="B25" s="31">
        <v>90.0</v>
      </c>
      <c r="O25" s="13" t="s">
        <v>361</v>
      </c>
      <c r="P25" s="41">
        <v>682.0</v>
      </c>
    </row>
    <row r="26">
      <c r="O26" s="13" t="s">
        <v>363</v>
      </c>
      <c r="P26" s="41">
        <v>130.0</v>
      </c>
    </row>
    <row r="27">
      <c r="O27" s="13" t="s">
        <v>364</v>
      </c>
      <c r="P27" s="41">
        <v>942.0</v>
      </c>
    </row>
    <row r="28">
      <c r="O28" s="13" t="s">
        <v>365</v>
      </c>
      <c r="P28" s="41">
        <v>588.0</v>
      </c>
    </row>
    <row r="29">
      <c r="A29" s="1" t="s">
        <v>357</v>
      </c>
      <c r="O29" s="13" t="s">
        <v>366</v>
      </c>
      <c r="P29" s="41">
        <v>284.0</v>
      </c>
    </row>
    <row r="30">
      <c r="A30" s="44" t="s">
        <v>332</v>
      </c>
      <c r="B30" s="44" t="s">
        <v>333</v>
      </c>
      <c r="O30" s="13" t="s">
        <v>367</v>
      </c>
      <c r="P30" s="41">
        <v>267.0</v>
      </c>
    </row>
    <row r="31">
      <c r="A31" s="11" t="s">
        <v>414</v>
      </c>
      <c r="B31" s="31">
        <v>6724.0</v>
      </c>
      <c r="O31" s="13" t="s">
        <v>368</v>
      </c>
      <c r="P31" s="41">
        <v>2935.0</v>
      </c>
    </row>
    <row r="32">
      <c r="A32" s="11" t="s">
        <v>339</v>
      </c>
      <c r="B32" s="31">
        <v>2338.0</v>
      </c>
      <c r="O32" s="13" t="s">
        <v>369</v>
      </c>
      <c r="P32" s="41">
        <v>563.0</v>
      </c>
    </row>
    <row r="33">
      <c r="A33" s="11" t="s">
        <v>341</v>
      </c>
      <c r="B33" s="31">
        <v>135.0</v>
      </c>
      <c r="O33" s="13" t="s">
        <v>370</v>
      </c>
      <c r="P33" s="41">
        <v>10.0</v>
      </c>
    </row>
    <row r="34">
      <c r="O34" s="13" t="s">
        <v>371</v>
      </c>
      <c r="P34" s="41">
        <v>101.0</v>
      </c>
    </row>
    <row r="41">
      <c r="O41" s="43" t="s">
        <v>372</v>
      </c>
    </row>
    <row r="42">
      <c r="O42" s="13" t="s">
        <v>373</v>
      </c>
      <c r="P42" s="41">
        <v>0.349</v>
      </c>
    </row>
    <row r="43">
      <c r="O43" s="13" t="s">
        <v>374</v>
      </c>
      <c r="P43" s="41">
        <v>0.273</v>
      </c>
    </row>
    <row r="44">
      <c r="O44" s="13" t="s">
        <v>375</v>
      </c>
      <c r="P44" s="41">
        <v>0.186</v>
      </c>
    </row>
    <row r="45">
      <c r="O45" s="13" t="s">
        <v>376</v>
      </c>
      <c r="P45" s="41">
        <v>0.082</v>
      </c>
    </row>
    <row r="46">
      <c r="O46" s="13" t="s">
        <v>377</v>
      </c>
      <c r="P46" s="41">
        <v>0.11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8.63"/>
    <col customWidth="1" min="16" max="16" width="30.5"/>
    <col customWidth="1" min="17" max="17" width="9.13"/>
  </cols>
  <sheetData>
    <row r="1">
      <c r="A1" s="43" t="s">
        <v>327</v>
      </c>
      <c r="M1" s="43"/>
      <c r="P1" s="43" t="s">
        <v>328</v>
      </c>
    </row>
    <row r="2">
      <c r="A2" s="45" t="s">
        <v>378</v>
      </c>
      <c r="P2" s="13" t="s">
        <v>329</v>
      </c>
      <c r="Q2" s="41">
        <v>5315.0</v>
      </c>
    </row>
    <row r="3">
      <c r="P3" s="13" t="s">
        <v>331</v>
      </c>
      <c r="Q3" s="41">
        <v>5208.0</v>
      </c>
    </row>
    <row r="4">
      <c r="P4" s="13" t="s">
        <v>334</v>
      </c>
      <c r="Q4" s="41">
        <v>7519.0</v>
      </c>
    </row>
    <row r="5">
      <c r="P5" s="13" t="s">
        <v>336</v>
      </c>
      <c r="Q5" s="41">
        <v>6262.0</v>
      </c>
    </row>
    <row r="6">
      <c r="P6" s="13" t="s">
        <v>338</v>
      </c>
      <c r="Q6" s="41">
        <v>6277.0</v>
      </c>
    </row>
    <row r="7">
      <c r="P7" s="13" t="s">
        <v>340</v>
      </c>
      <c r="Q7" s="41">
        <v>3583.0</v>
      </c>
    </row>
    <row r="8">
      <c r="P8" s="13" t="s">
        <v>342</v>
      </c>
      <c r="Q8" s="41">
        <v>7371.0</v>
      </c>
    </row>
    <row r="9">
      <c r="P9" s="13" t="s">
        <v>343</v>
      </c>
      <c r="Q9" s="41">
        <v>4032.0</v>
      </c>
    </row>
    <row r="10">
      <c r="P10" s="13" t="s">
        <v>344</v>
      </c>
      <c r="Q10" s="41">
        <v>2446.0</v>
      </c>
    </row>
    <row r="13">
      <c r="P13" s="43" t="s">
        <v>346</v>
      </c>
    </row>
    <row r="14">
      <c r="P14" s="13" t="s">
        <v>348</v>
      </c>
      <c r="Q14" s="41">
        <v>5980.0</v>
      </c>
    </row>
    <row r="15">
      <c r="P15" s="13" t="s">
        <v>349</v>
      </c>
      <c r="Q15" s="41">
        <v>656.0</v>
      </c>
    </row>
    <row r="16">
      <c r="P16" s="13" t="s">
        <v>351</v>
      </c>
      <c r="Q16" s="41">
        <v>43.0</v>
      </c>
    </row>
    <row r="17">
      <c r="P17" s="13" t="s">
        <v>352</v>
      </c>
      <c r="Q17" s="41">
        <v>39.0</v>
      </c>
    </row>
    <row r="18">
      <c r="P18" s="13" t="s">
        <v>353</v>
      </c>
      <c r="Q18" s="41">
        <v>9165.0</v>
      </c>
    </row>
    <row r="19">
      <c r="P19" s="13" t="s">
        <v>354</v>
      </c>
      <c r="Q19" s="41">
        <v>5817.0</v>
      </c>
    </row>
    <row r="20">
      <c r="A20" s="43" t="s">
        <v>345</v>
      </c>
      <c r="P20" s="13" t="s">
        <v>355</v>
      </c>
      <c r="Q20" s="41">
        <v>8581.0</v>
      </c>
    </row>
    <row r="21">
      <c r="A21" s="1" t="s">
        <v>399</v>
      </c>
      <c r="B21" s="1" t="s">
        <v>400</v>
      </c>
      <c r="P21" s="13" t="s">
        <v>356</v>
      </c>
      <c r="Q21" s="41">
        <v>1902.0</v>
      </c>
    </row>
    <row r="22">
      <c r="A22" s="13" t="s">
        <v>416</v>
      </c>
      <c r="B22" s="41">
        <v>42.0</v>
      </c>
      <c r="P22" s="13" t="s">
        <v>358</v>
      </c>
      <c r="Q22" s="41">
        <v>1284.0</v>
      </c>
    </row>
    <row r="23">
      <c r="A23" s="13" t="s">
        <v>417</v>
      </c>
      <c r="B23" s="41">
        <v>61.0</v>
      </c>
      <c r="P23" s="13" t="s">
        <v>359</v>
      </c>
      <c r="Q23" s="41">
        <v>3036.0</v>
      </c>
    </row>
    <row r="24">
      <c r="A24" s="13" t="s">
        <v>418</v>
      </c>
      <c r="B24" s="41">
        <v>1396.0</v>
      </c>
      <c r="P24" s="13" t="s">
        <v>360</v>
      </c>
      <c r="Q24" s="41">
        <v>160.0</v>
      </c>
    </row>
    <row r="25">
      <c r="A25" s="13" t="s">
        <v>419</v>
      </c>
      <c r="B25" s="41">
        <v>7557.0</v>
      </c>
      <c r="P25" s="13" t="s">
        <v>361</v>
      </c>
      <c r="Q25" s="41">
        <v>1968.0</v>
      </c>
    </row>
    <row r="26">
      <c r="A26" s="13" t="s">
        <v>341</v>
      </c>
      <c r="B26" s="41">
        <v>180.0</v>
      </c>
      <c r="P26" s="13" t="s">
        <v>363</v>
      </c>
      <c r="Q26" s="41">
        <v>536.0</v>
      </c>
    </row>
    <row r="27">
      <c r="A27" s="13" t="s">
        <v>339</v>
      </c>
      <c r="B27" s="41">
        <v>38.0</v>
      </c>
      <c r="P27" s="13" t="s">
        <v>364</v>
      </c>
      <c r="Q27" s="41">
        <v>3133.0</v>
      </c>
    </row>
    <row r="28">
      <c r="P28" s="13" t="s">
        <v>365</v>
      </c>
      <c r="Q28" s="41">
        <v>573.0</v>
      </c>
    </row>
    <row r="29">
      <c r="P29" s="13" t="s">
        <v>366</v>
      </c>
      <c r="Q29" s="41">
        <v>170.0</v>
      </c>
    </row>
    <row r="30">
      <c r="P30" s="13" t="s">
        <v>367</v>
      </c>
      <c r="Q30" s="41">
        <v>136.0</v>
      </c>
    </row>
    <row r="31">
      <c r="P31" s="13" t="s">
        <v>368</v>
      </c>
      <c r="Q31" s="41">
        <v>2481.0</v>
      </c>
    </row>
    <row r="32">
      <c r="P32" s="13" t="s">
        <v>369</v>
      </c>
      <c r="Q32" s="41">
        <v>178.0</v>
      </c>
    </row>
    <row r="33">
      <c r="P33" s="13" t="s">
        <v>370</v>
      </c>
      <c r="Q33" s="41">
        <v>163.0</v>
      </c>
    </row>
    <row r="34">
      <c r="P34" s="13" t="s">
        <v>371</v>
      </c>
      <c r="Q34" s="41">
        <v>0.0</v>
      </c>
    </row>
    <row r="41">
      <c r="P41" s="43" t="s">
        <v>372</v>
      </c>
    </row>
    <row r="42">
      <c r="P42" s="13" t="s">
        <v>373</v>
      </c>
      <c r="Q42" s="41">
        <v>0.363</v>
      </c>
    </row>
    <row r="43">
      <c r="P43" s="13" t="s">
        <v>374</v>
      </c>
      <c r="Q43" s="41">
        <v>0.261</v>
      </c>
    </row>
    <row r="44">
      <c r="P44" s="13" t="s">
        <v>375</v>
      </c>
      <c r="Q44" s="41">
        <v>0.155</v>
      </c>
    </row>
    <row r="45">
      <c r="P45" s="13" t="s">
        <v>376</v>
      </c>
      <c r="Q45" s="41">
        <v>0.089</v>
      </c>
    </row>
    <row r="46">
      <c r="P46" s="13" t="s">
        <v>377</v>
      </c>
      <c r="Q46" s="41">
        <v>0.132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8.63"/>
    <col customWidth="1" min="16" max="16" width="30.5"/>
    <col customWidth="1" min="17" max="17" width="9.13"/>
  </cols>
  <sheetData>
    <row r="1">
      <c r="A1" s="43" t="s">
        <v>327</v>
      </c>
      <c r="M1" s="43"/>
      <c r="P1" s="43" t="s">
        <v>328</v>
      </c>
    </row>
    <row r="2">
      <c r="A2" s="45" t="s">
        <v>378</v>
      </c>
      <c r="P2" s="13" t="s">
        <v>329</v>
      </c>
      <c r="Q2" s="41">
        <v>6758.0</v>
      </c>
    </row>
    <row r="3">
      <c r="P3" s="13" t="s">
        <v>331</v>
      </c>
      <c r="Q3" s="41">
        <v>6342.0</v>
      </c>
    </row>
    <row r="4">
      <c r="P4" s="13" t="s">
        <v>334</v>
      </c>
      <c r="Q4" s="41">
        <v>7226.0</v>
      </c>
    </row>
    <row r="5">
      <c r="P5" s="13" t="s">
        <v>336</v>
      </c>
      <c r="Q5" s="41">
        <v>7088.0</v>
      </c>
    </row>
    <row r="6">
      <c r="P6" s="13" t="s">
        <v>338</v>
      </c>
      <c r="Q6" s="41">
        <v>6891.0</v>
      </c>
    </row>
    <row r="7">
      <c r="P7" s="13" t="s">
        <v>340</v>
      </c>
      <c r="Q7" s="41">
        <v>3567.0</v>
      </c>
    </row>
    <row r="8">
      <c r="P8" s="13" t="s">
        <v>342</v>
      </c>
      <c r="Q8" s="41">
        <v>7452.0</v>
      </c>
    </row>
    <row r="9">
      <c r="P9" s="13" t="s">
        <v>343</v>
      </c>
      <c r="Q9" s="41">
        <v>3234.0</v>
      </c>
    </row>
    <row r="10">
      <c r="P10" s="13" t="s">
        <v>344</v>
      </c>
      <c r="Q10" s="41">
        <v>2242.0</v>
      </c>
    </row>
    <row r="13">
      <c r="P13" s="43" t="s">
        <v>346</v>
      </c>
    </row>
    <row r="14">
      <c r="P14" s="13" t="s">
        <v>348</v>
      </c>
      <c r="Q14" s="41">
        <v>4736.0</v>
      </c>
    </row>
    <row r="15">
      <c r="P15" s="13" t="s">
        <v>349</v>
      </c>
      <c r="Q15" s="41">
        <v>721.0</v>
      </c>
    </row>
    <row r="16">
      <c r="P16" s="13" t="s">
        <v>351</v>
      </c>
      <c r="Q16" s="41">
        <v>82.0</v>
      </c>
    </row>
    <row r="17">
      <c r="P17" s="13" t="s">
        <v>352</v>
      </c>
      <c r="Q17" s="41">
        <v>153.0</v>
      </c>
    </row>
    <row r="18">
      <c r="P18" s="13" t="s">
        <v>353</v>
      </c>
      <c r="Q18" s="41">
        <v>3982.0</v>
      </c>
    </row>
    <row r="19">
      <c r="P19" s="13" t="s">
        <v>354</v>
      </c>
      <c r="Q19" s="41">
        <v>18573.0</v>
      </c>
    </row>
    <row r="20">
      <c r="A20" s="43" t="s">
        <v>345</v>
      </c>
      <c r="P20" s="13" t="s">
        <v>355</v>
      </c>
      <c r="Q20" s="41">
        <v>6460.0</v>
      </c>
    </row>
    <row r="21">
      <c r="A21" s="1" t="s">
        <v>399</v>
      </c>
      <c r="B21" s="1" t="s">
        <v>400</v>
      </c>
      <c r="P21" s="13" t="s">
        <v>356</v>
      </c>
      <c r="Q21" s="41">
        <v>598.0</v>
      </c>
    </row>
    <row r="22">
      <c r="A22" s="13" t="s">
        <v>420</v>
      </c>
      <c r="B22" s="41">
        <v>20.0</v>
      </c>
      <c r="P22" s="13" t="s">
        <v>358</v>
      </c>
      <c r="Q22" s="41">
        <v>483.0</v>
      </c>
    </row>
    <row r="23">
      <c r="A23" s="13" t="s">
        <v>421</v>
      </c>
      <c r="B23" s="41">
        <v>1344.0</v>
      </c>
      <c r="P23" s="13" t="s">
        <v>359</v>
      </c>
      <c r="Q23" s="41">
        <v>2744.0</v>
      </c>
    </row>
    <row r="24">
      <c r="A24" s="13" t="s">
        <v>422</v>
      </c>
      <c r="B24" s="41">
        <v>5989.0</v>
      </c>
      <c r="P24" s="13" t="s">
        <v>360</v>
      </c>
      <c r="Q24" s="41">
        <v>31.0</v>
      </c>
    </row>
    <row r="25">
      <c r="A25" s="13" t="s">
        <v>341</v>
      </c>
      <c r="B25" s="41">
        <v>166.0</v>
      </c>
      <c r="P25" s="13" t="s">
        <v>361</v>
      </c>
      <c r="Q25" s="41">
        <v>1659.0</v>
      </c>
    </row>
    <row r="26">
      <c r="A26" s="13" t="s">
        <v>339</v>
      </c>
      <c r="B26" s="41">
        <v>25.0</v>
      </c>
      <c r="P26" s="13" t="s">
        <v>363</v>
      </c>
      <c r="Q26" s="41">
        <v>1149.0</v>
      </c>
    </row>
    <row r="27">
      <c r="P27" s="13" t="s">
        <v>364</v>
      </c>
      <c r="Q27" s="41">
        <v>4153.0</v>
      </c>
    </row>
    <row r="28">
      <c r="P28" s="13" t="s">
        <v>365</v>
      </c>
      <c r="Q28" s="41">
        <v>434.0</v>
      </c>
    </row>
    <row r="29">
      <c r="P29" s="13" t="s">
        <v>366</v>
      </c>
      <c r="Q29" s="41">
        <v>170.0</v>
      </c>
    </row>
    <row r="30">
      <c r="P30" s="13" t="s">
        <v>367</v>
      </c>
      <c r="Q30" s="41">
        <v>226.0</v>
      </c>
    </row>
    <row r="31">
      <c r="A31" s="13" t="s">
        <v>0</v>
      </c>
      <c r="B31" s="17">
        <f>(SUM(B22:B26)/2)+(0.2*Sum(B22:B26))</f>
        <v>5280.8</v>
      </c>
      <c r="P31" s="13" t="s">
        <v>368</v>
      </c>
      <c r="Q31" s="41">
        <v>2222.0</v>
      </c>
    </row>
    <row r="32">
      <c r="P32" s="13" t="s">
        <v>369</v>
      </c>
      <c r="Q32" s="41">
        <v>316.0</v>
      </c>
    </row>
    <row r="33">
      <c r="P33" s="13" t="s">
        <v>370</v>
      </c>
      <c r="Q33" s="41">
        <v>4.0</v>
      </c>
    </row>
    <row r="34">
      <c r="P34" s="13" t="s">
        <v>371</v>
      </c>
      <c r="Q34" s="41">
        <v>62.0</v>
      </c>
    </row>
    <row r="41">
      <c r="P41" s="43" t="s">
        <v>372</v>
      </c>
    </row>
    <row r="42">
      <c r="P42" s="13" t="s">
        <v>373</v>
      </c>
      <c r="Q42" s="41">
        <v>0.245</v>
      </c>
    </row>
    <row r="43">
      <c r="P43" s="13" t="s">
        <v>374</v>
      </c>
      <c r="Q43" s="41">
        <v>0.254</v>
      </c>
    </row>
    <row r="44">
      <c r="P44" s="13" t="s">
        <v>375</v>
      </c>
      <c r="Q44" s="41">
        <v>0.133</v>
      </c>
    </row>
    <row r="45">
      <c r="P45" s="13" t="s">
        <v>376</v>
      </c>
      <c r="Q45" s="41">
        <v>0.13</v>
      </c>
    </row>
    <row r="46">
      <c r="P46" s="13" t="s">
        <v>377</v>
      </c>
      <c r="Q46" s="41">
        <v>0.239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8.63"/>
    <col customWidth="1" min="16" max="16" width="30.5"/>
    <col customWidth="1" min="17" max="17" width="9.13"/>
  </cols>
  <sheetData>
    <row r="1">
      <c r="A1" s="43" t="s">
        <v>327</v>
      </c>
      <c r="M1" s="43"/>
      <c r="P1" s="43"/>
      <c r="Q1" s="43" t="s">
        <v>328</v>
      </c>
    </row>
    <row r="2">
      <c r="A2" s="45" t="s">
        <v>378</v>
      </c>
      <c r="Q2" s="13" t="s">
        <v>329</v>
      </c>
      <c r="R2" s="41">
        <v>11952.0</v>
      </c>
    </row>
    <row r="3">
      <c r="Q3" s="13" t="s">
        <v>331</v>
      </c>
      <c r="R3" s="41">
        <v>12745.0</v>
      </c>
    </row>
    <row r="4">
      <c r="Q4" s="13" t="s">
        <v>334</v>
      </c>
      <c r="R4" s="41">
        <v>14510.0</v>
      </c>
    </row>
    <row r="5">
      <c r="Q5" s="13" t="s">
        <v>336</v>
      </c>
      <c r="R5" s="41">
        <v>12048.0</v>
      </c>
    </row>
    <row r="6">
      <c r="Q6" s="13" t="s">
        <v>338</v>
      </c>
      <c r="R6" s="41">
        <v>8537.0</v>
      </c>
    </row>
    <row r="7">
      <c r="Q7" s="13" t="s">
        <v>340</v>
      </c>
      <c r="R7" s="41">
        <v>3500.0</v>
      </c>
    </row>
    <row r="8">
      <c r="Q8" s="13" t="s">
        <v>342</v>
      </c>
      <c r="R8" s="41">
        <v>6970.0</v>
      </c>
    </row>
    <row r="9">
      <c r="Q9" s="13" t="s">
        <v>343</v>
      </c>
      <c r="R9" s="41">
        <v>3269.0</v>
      </c>
    </row>
    <row r="10">
      <c r="Q10" s="13" t="s">
        <v>344</v>
      </c>
      <c r="R10" s="41">
        <v>1475.0</v>
      </c>
    </row>
    <row r="13">
      <c r="Q13" s="43" t="s">
        <v>346</v>
      </c>
    </row>
    <row r="14">
      <c r="Q14" s="13" t="s">
        <v>348</v>
      </c>
      <c r="R14" s="41">
        <v>21907.0</v>
      </c>
    </row>
    <row r="15">
      <c r="Q15" s="13" t="s">
        <v>349</v>
      </c>
      <c r="R15" s="41">
        <v>4509.0</v>
      </c>
    </row>
    <row r="16">
      <c r="Q16" s="13" t="s">
        <v>351</v>
      </c>
      <c r="R16" s="41">
        <v>422.0</v>
      </c>
    </row>
    <row r="17">
      <c r="Q17" s="13" t="s">
        <v>352</v>
      </c>
      <c r="R17" s="41">
        <v>82.0</v>
      </c>
    </row>
    <row r="18">
      <c r="Q18" s="13" t="s">
        <v>353</v>
      </c>
      <c r="R18" s="41">
        <v>3521.0</v>
      </c>
    </row>
    <row r="19">
      <c r="Q19" s="13" t="s">
        <v>354</v>
      </c>
      <c r="R19" s="41">
        <v>17023.0</v>
      </c>
    </row>
    <row r="20">
      <c r="A20" s="43" t="s">
        <v>345</v>
      </c>
      <c r="Q20" s="13" t="s">
        <v>355</v>
      </c>
      <c r="R20" s="41">
        <v>5696.0</v>
      </c>
    </row>
    <row r="21">
      <c r="A21" s="1" t="s">
        <v>399</v>
      </c>
      <c r="B21" s="1" t="s">
        <v>400</v>
      </c>
      <c r="Q21" s="13" t="s">
        <v>356</v>
      </c>
      <c r="R21" s="41">
        <v>1236.0</v>
      </c>
    </row>
    <row r="22">
      <c r="A22" s="13" t="s">
        <v>423</v>
      </c>
      <c r="B22" s="41">
        <v>1554.0</v>
      </c>
      <c r="Q22" s="13" t="s">
        <v>358</v>
      </c>
      <c r="R22" s="41">
        <v>974.0</v>
      </c>
    </row>
    <row r="23">
      <c r="A23" s="13" t="s">
        <v>424</v>
      </c>
      <c r="B23" s="41">
        <v>6058.0</v>
      </c>
      <c r="Q23" s="13" t="s">
        <v>359</v>
      </c>
      <c r="R23" s="41">
        <v>3572.0</v>
      </c>
    </row>
    <row r="24">
      <c r="A24" s="13" t="s">
        <v>341</v>
      </c>
      <c r="B24" s="41">
        <v>161.0</v>
      </c>
      <c r="Q24" s="13" t="s">
        <v>360</v>
      </c>
      <c r="R24" s="41">
        <v>166.0</v>
      </c>
    </row>
    <row r="25">
      <c r="A25" s="13" t="s">
        <v>339</v>
      </c>
      <c r="B25" s="41">
        <v>656.0</v>
      </c>
      <c r="Q25" s="13" t="s">
        <v>361</v>
      </c>
      <c r="R25" s="41">
        <v>1972.0</v>
      </c>
    </row>
    <row r="26">
      <c r="Q26" s="13" t="s">
        <v>363</v>
      </c>
      <c r="R26" s="41">
        <v>1467.0</v>
      </c>
    </row>
    <row r="27">
      <c r="Q27" s="13" t="s">
        <v>364</v>
      </c>
      <c r="R27" s="41">
        <v>2245.0</v>
      </c>
    </row>
    <row r="28">
      <c r="Q28" s="13" t="s">
        <v>365</v>
      </c>
      <c r="R28" s="41">
        <v>2658.0</v>
      </c>
    </row>
    <row r="29">
      <c r="Q29" s="13" t="s">
        <v>366</v>
      </c>
      <c r="R29" s="41">
        <v>788.0</v>
      </c>
    </row>
    <row r="30">
      <c r="Q30" s="13" t="s">
        <v>367</v>
      </c>
      <c r="R30" s="41">
        <v>397.0</v>
      </c>
    </row>
    <row r="31">
      <c r="Q31" s="13" t="s">
        <v>368</v>
      </c>
      <c r="R31" s="41">
        <v>3218.0</v>
      </c>
    </row>
    <row r="32">
      <c r="Q32" s="13" t="s">
        <v>369</v>
      </c>
      <c r="R32" s="41">
        <v>2159.0</v>
      </c>
    </row>
    <row r="33">
      <c r="Q33" s="13" t="s">
        <v>370</v>
      </c>
      <c r="R33" s="41">
        <v>138.0</v>
      </c>
    </row>
    <row r="34">
      <c r="Q34" s="13" t="s">
        <v>371</v>
      </c>
      <c r="R34" s="41">
        <v>127.0</v>
      </c>
    </row>
    <row r="41">
      <c r="Q41" s="43" t="s">
        <v>372</v>
      </c>
    </row>
    <row r="42">
      <c r="Q42" s="13" t="s">
        <v>373</v>
      </c>
      <c r="R42" s="41">
        <v>0.23700000000000002</v>
      </c>
    </row>
    <row r="43">
      <c r="Q43" s="13" t="s">
        <v>374</v>
      </c>
      <c r="R43" s="41">
        <v>0.30100000000000005</v>
      </c>
    </row>
    <row r="44">
      <c r="Q44" s="13" t="s">
        <v>375</v>
      </c>
      <c r="R44" s="41">
        <v>0.225</v>
      </c>
    </row>
    <row r="45">
      <c r="Q45" s="13" t="s">
        <v>376</v>
      </c>
      <c r="R45" s="41">
        <v>0.111</v>
      </c>
    </row>
    <row r="46">
      <c r="Q46" s="13" t="s">
        <v>377</v>
      </c>
      <c r="R46" s="41">
        <v>0.126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19.25"/>
    <col customWidth="1" min="14" max="14" width="8.63"/>
    <col customWidth="1" min="16" max="16" width="30.5"/>
    <col customWidth="1" min="17" max="17" width="9.13"/>
  </cols>
  <sheetData>
    <row r="1">
      <c r="A1" s="28" t="s">
        <v>327</v>
      </c>
      <c r="K1" s="42"/>
      <c r="M1" s="43"/>
      <c r="P1" s="43" t="s">
        <v>328</v>
      </c>
    </row>
    <row r="2">
      <c r="P2" s="13" t="s">
        <v>329</v>
      </c>
      <c r="Q2" s="41">
        <v>5302.0</v>
      </c>
    </row>
    <row r="3">
      <c r="A3" s="1" t="s">
        <v>380</v>
      </c>
      <c r="P3" s="13" t="s">
        <v>331</v>
      </c>
      <c r="Q3" s="41">
        <v>5681.0</v>
      </c>
    </row>
    <row r="4">
      <c r="A4" s="44" t="s">
        <v>332</v>
      </c>
      <c r="B4" s="44" t="s">
        <v>333</v>
      </c>
      <c r="P4" s="13" t="s">
        <v>334</v>
      </c>
      <c r="Q4" s="41">
        <v>6991.0</v>
      </c>
    </row>
    <row r="5">
      <c r="A5" s="11" t="s">
        <v>425</v>
      </c>
      <c r="B5" s="31">
        <v>1690.0</v>
      </c>
      <c r="P5" s="13" t="s">
        <v>336</v>
      </c>
      <c r="Q5" s="41">
        <v>7046.0</v>
      </c>
    </row>
    <row r="6">
      <c r="A6" s="11" t="s">
        <v>339</v>
      </c>
      <c r="B6" s="31">
        <v>887.0</v>
      </c>
      <c r="P6" s="13" t="s">
        <v>338</v>
      </c>
      <c r="Q6" s="41">
        <v>7386.0</v>
      </c>
    </row>
    <row r="7">
      <c r="A7" s="11" t="s">
        <v>341</v>
      </c>
      <c r="B7" s="31">
        <v>94.0</v>
      </c>
      <c r="P7" s="13" t="s">
        <v>340</v>
      </c>
      <c r="Q7" s="41">
        <v>3416.0</v>
      </c>
    </row>
    <row r="8">
      <c r="P8" s="13" t="s">
        <v>342</v>
      </c>
      <c r="Q8" s="41">
        <v>7041.0</v>
      </c>
    </row>
    <row r="9">
      <c r="P9" s="13" t="s">
        <v>343</v>
      </c>
      <c r="Q9" s="41">
        <v>4214.0</v>
      </c>
    </row>
    <row r="10">
      <c r="P10" s="13" t="s">
        <v>344</v>
      </c>
      <c r="Q10" s="41">
        <v>2229.0</v>
      </c>
    </row>
    <row r="11">
      <c r="A11" s="1" t="s">
        <v>330</v>
      </c>
    </row>
    <row r="12">
      <c r="A12" s="44" t="s">
        <v>332</v>
      </c>
      <c r="B12" s="44" t="s">
        <v>333</v>
      </c>
    </row>
    <row r="13">
      <c r="A13" s="11" t="s">
        <v>426</v>
      </c>
      <c r="B13" s="31">
        <v>8959.0</v>
      </c>
      <c r="P13" s="43" t="s">
        <v>346</v>
      </c>
    </row>
    <row r="14">
      <c r="A14" s="11" t="s">
        <v>339</v>
      </c>
      <c r="B14" s="31">
        <v>1793.0</v>
      </c>
      <c r="P14" s="13" t="s">
        <v>348</v>
      </c>
      <c r="Q14" s="41">
        <v>5277.0</v>
      </c>
    </row>
    <row r="15">
      <c r="A15" s="11" t="s">
        <v>341</v>
      </c>
      <c r="B15" s="31">
        <v>164.0</v>
      </c>
      <c r="P15" s="13" t="s">
        <v>349</v>
      </c>
      <c r="Q15" s="41">
        <v>989.0</v>
      </c>
    </row>
    <row r="16">
      <c r="P16" s="13" t="s">
        <v>351</v>
      </c>
      <c r="Q16" s="41">
        <v>62.0</v>
      </c>
    </row>
    <row r="17">
      <c r="P17" s="13" t="s">
        <v>352</v>
      </c>
      <c r="Q17" s="41">
        <v>18.0</v>
      </c>
    </row>
    <row r="18">
      <c r="P18" s="13" t="s">
        <v>353</v>
      </c>
      <c r="Q18" s="41">
        <v>2773.0</v>
      </c>
    </row>
    <row r="19">
      <c r="A19" s="28" t="s">
        <v>345</v>
      </c>
      <c r="P19" s="13" t="s">
        <v>354</v>
      </c>
      <c r="Q19" s="41">
        <v>7361.0</v>
      </c>
    </row>
    <row r="20">
      <c r="P20" s="13" t="s">
        <v>355</v>
      </c>
      <c r="Q20" s="41">
        <v>15105.0</v>
      </c>
    </row>
    <row r="21">
      <c r="A21" s="1" t="s">
        <v>347</v>
      </c>
      <c r="P21" s="13" t="s">
        <v>356</v>
      </c>
      <c r="Q21" s="41">
        <v>1118.0</v>
      </c>
    </row>
    <row r="22">
      <c r="A22" s="44" t="s">
        <v>332</v>
      </c>
      <c r="B22" s="44" t="s">
        <v>333</v>
      </c>
      <c r="P22" s="13" t="s">
        <v>358</v>
      </c>
      <c r="Q22" s="41">
        <v>392.0</v>
      </c>
    </row>
    <row r="23">
      <c r="A23" s="11" t="s">
        <v>427</v>
      </c>
      <c r="B23" s="31">
        <v>2149.0</v>
      </c>
      <c r="P23" s="13" t="s">
        <v>359</v>
      </c>
      <c r="Q23" s="41">
        <v>4903.0</v>
      </c>
    </row>
    <row r="24">
      <c r="A24" s="11" t="s">
        <v>339</v>
      </c>
      <c r="B24" s="31">
        <v>1230.0</v>
      </c>
      <c r="P24" s="13" t="s">
        <v>360</v>
      </c>
      <c r="Q24" s="41">
        <v>32.0</v>
      </c>
    </row>
    <row r="25">
      <c r="A25" s="11" t="s">
        <v>341</v>
      </c>
      <c r="B25" s="31">
        <v>77.0</v>
      </c>
      <c r="P25" s="13" t="s">
        <v>361</v>
      </c>
      <c r="Q25" s="41">
        <v>1814.0</v>
      </c>
    </row>
    <row r="26">
      <c r="P26" s="13" t="s">
        <v>363</v>
      </c>
      <c r="Q26" s="41">
        <v>615.0</v>
      </c>
    </row>
    <row r="27">
      <c r="P27" s="13" t="s">
        <v>364</v>
      </c>
      <c r="Q27" s="41">
        <v>1489.0</v>
      </c>
    </row>
    <row r="28">
      <c r="P28" s="13" t="s">
        <v>365</v>
      </c>
      <c r="Q28" s="41">
        <v>791.0</v>
      </c>
    </row>
    <row r="29">
      <c r="A29" s="1" t="s">
        <v>357</v>
      </c>
      <c r="P29" s="13" t="s">
        <v>366</v>
      </c>
      <c r="Q29" s="41">
        <v>221.0</v>
      </c>
    </row>
    <row r="30">
      <c r="A30" s="44" t="s">
        <v>332</v>
      </c>
      <c r="B30" s="44" t="s">
        <v>333</v>
      </c>
      <c r="P30" s="13" t="s">
        <v>367</v>
      </c>
      <c r="Q30" s="41">
        <v>164.0</v>
      </c>
    </row>
    <row r="31">
      <c r="A31" s="11" t="s">
        <v>428</v>
      </c>
      <c r="B31" s="31">
        <v>9680.0</v>
      </c>
      <c r="P31" s="13" t="s">
        <v>368</v>
      </c>
      <c r="Q31" s="41">
        <v>3408.0</v>
      </c>
    </row>
    <row r="32">
      <c r="A32" s="11" t="s">
        <v>429</v>
      </c>
      <c r="B32" s="31">
        <v>3987.0</v>
      </c>
      <c r="P32" s="13" t="s">
        <v>369</v>
      </c>
      <c r="Q32" s="41">
        <v>166.0</v>
      </c>
    </row>
    <row r="33">
      <c r="A33" s="11" t="s">
        <v>339</v>
      </c>
      <c r="B33" s="31">
        <v>872.0</v>
      </c>
      <c r="P33" s="13" t="s">
        <v>370</v>
      </c>
      <c r="Q33" s="41">
        <v>8.0</v>
      </c>
    </row>
    <row r="34">
      <c r="A34" s="11" t="s">
        <v>341</v>
      </c>
      <c r="B34" s="31">
        <v>209.0</v>
      </c>
      <c r="P34" s="13" t="s">
        <v>371</v>
      </c>
      <c r="Q34" s="41">
        <v>33.0</v>
      </c>
    </row>
    <row r="41">
      <c r="P41" s="43" t="s">
        <v>372</v>
      </c>
    </row>
    <row r="42">
      <c r="P42" s="13" t="s">
        <v>373</v>
      </c>
      <c r="Q42" s="41">
        <v>0.171</v>
      </c>
    </row>
    <row r="43">
      <c r="P43" s="13" t="s">
        <v>374</v>
      </c>
      <c r="Q43" s="41">
        <v>0.248</v>
      </c>
    </row>
    <row r="44">
      <c r="P44" s="13" t="s">
        <v>375</v>
      </c>
      <c r="Q44" s="41">
        <v>0.222</v>
      </c>
    </row>
    <row r="45">
      <c r="P45" s="13" t="s">
        <v>376</v>
      </c>
      <c r="Q45" s="41">
        <v>0.133</v>
      </c>
    </row>
    <row r="46">
      <c r="P46" s="13" t="s">
        <v>377</v>
      </c>
      <c r="Q46" s="41">
        <v>0.226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7.75"/>
    <col customWidth="1" min="16" max="16" width="30.5"/>
    <col customWidth="1" min="17" max="17" width="8.25"/>
  </cols>
  <sheetData>
    <row r="1">
      <c r="A1" s="43" t="s">
        <v>327</v>
      </c>
      <c r="M1" s="43"/>
      <c r="R1" s="43" t="s">
        <v>328</v>
      </c>
    </row>
    <row r="2">
      <c r="A2" s="45" t="s">
        <v>378</v>
      </c>
      <c r="R2" s="13" t="s">
        <v>329</v>
      </c>
      <c r="S2" s="41">
        <v>7404.0</v>
      </c>
    </row>
    <row r="3">
      <c r="R3" s="13" t="s">
        <v>331</v>
      </c>
      <c r="S3" s="41">
        <v>6178.0</v>
      </c>
    </row>
    <row r="4">
      <c r="R4" s="13" t="s">
        <v>334</v>
      </c>
      <c r="S4" s="41">
        <v>6977.0</v>
      </c>
    </row>
    <row r="5">
      <c r="R5" s="13" t="s">
        <v>336</v>
      </c>
      <c r="S5" s="41">
        <v>7030.0</v>
      </c>
    </row>
    <row r="6">
      <c r="R6" s="13" t="s">
        <v>338</v>
      </c>
      <c r="S6" s="41">
        <v>7191.0</v>
      </c>
    </row>
    <row r="7">
      <c r="R7" s="13" t="s">
        <v>340</v>
      </c>
      <c r="S7" s="41">
        <v>4412.0</v>
      </c>
    </row>
    <row r="8">
      <c r="R8" s="13" t="s">
        <v>342</v>
      </c>
      <c r="S8" s="41">
        <v>8319.0</v>
      </c>
    </row>
    <row r="9">
      <c r="R9" s="13" t="s">
        <v>343</v>
      </c>
      <c r="S9" s="41">
        <v>3044.0</v>
      </c>
    </row>
    <row r="10">
      <c r="R10" s="13" t="s">
        <v>344</v>
      </c>
      <c r="S10" s="41">
        <v>1416.0</v>
      </c>
    </row>
    <row r="13">
      <c r="R13" s="43" t="s">
        <v>346</v>
      </c>
    </row>
    <row r="14">
      <c r="R14" s="13" t="s">
        <v>348</v>
      </c>
      <c r="S14" s="41">
        <v>6371.0</v>
      </c>
    </row>
    <row r="15">
      <c r="R15" s="13" t="s">
        <v>349</v>
      </c>
      <c r="S15" s="41">
        <v>1007.0</v>
      </c>
    </row>
    <row r="16">
      <c r="R16" s="13" t="s">
        <v>351</v>
      </c>
      <c r="S16" s="41">
        <v>66.0</v>
      </c>
    </row>
    <row r="17">
      <c r="R17" s="13" t="s">
        <v>352</v>
      </c>
      <c r="S17" s="41">
        <v>35.0</v>
      </c>
    </row>
    <row r="18">
      <c r="R18" s="13" t="s">
        <v>353</v>
      </c>
      <c r="S18" s="41">
        <v>1384.0</v>
      </c>
    </row>
    <row r="19">
      <c r="R19" s="13" t="s">
        <v>354</v>
      </c>
      <c r="S19" s="41">
        <v>10491.0</v>
      </c>
    </row>
    <row r="20">
      <c r="A20" s="43" t="s">
        <v>345</v>
      </c>
      <c r="R20" s="13" t="s">
        <v>355</v>
      </c>
      <c r="S20" s="41">
        <v>10624.0</v>
      </c>
    </row>
    <row r="21">
      <c r="A21" s="1" t="s">
        <v>399</v>
      </c>
      <c r="B21" s="1" t="s">
        <v>400</v>
      </c>
      <c r="R21" s="13" t="s">
        <v>356</v>
      </c>
      <c r="S21" s="41">
        <v>798.0</v>
      </c>
    </row>
    <row r="22">
      <c r="A22" s="13" t="s">
        <v>430</v>
      </c>
      <c r="B22" s="41">
        <v>2277.0</v>
      </c>
      <c r="R22" s="13" t="s">
        <v>358</v>
      </c>
      <c r="S22" s="41">
        <v>170.0</v>
      </c>
    </row>
    <row r="23">
      <c r="A23" s="13" t="s">
        <v>431</v>
      </c>
      <c r="B23" s="41">
        <v>990.0</v>
      </c>
      <c r="R23" s="13" t="s">
        <v>359</v>
      </c>
      <c r="S23" s="41">
        <v>3564.0</v>
      </c>
    </row>
    <row r="24">
      <c r="A24" s="13" t="s">
        <v>432</v>
      </c>
      <c r="B24" s="41">
        <v>8918.0</v>
      </c>
      <c r="R24" s="13" t="s">
        <v>360</v>
      </c>
      <c r="S24" s="41">
        <v>375.0</v>
      </c>
    </row>
    <row r="25">
      <c r="A25" s="13" t="s">
        <v>341</v>
      </c>
      <c r="B25" s="41">
        <v>128.0</v>
      </c>
      <c r="R25" s="13" t="s">
        <v>361</v>
      </c>
      <c r="S25" s="41">
        <v>1597.0</v>
      </c>
    </row>
    <row r="26">
      <c r="A26" s="13" t="s">
        <v>339</v>
      </c>
      <c r="B26" s="41">
        <v>1028.0</v>
      </c>
      <c r="R26" s="13" t="s">
        <v>363</v>
      </c>
      <c r="S26" s="41">
        <v>530.0</v>
      </c>
    </row>
    <row r="27">
      <c r="R27" s="13" t="s">
        <v>364</v>
      </c>
      <c r="S27" s="41">
        <v>1373.0</v>
      </c>
    </row>
    <row r="28">
      <c r="R28" s="13" t="s">
        <v>365</v>
      </c>
      <c r="S28" s="41">
        <v>784.0</v>
      </c>
    </row>
    <row r="29">
      <c r="A29" s="17">
        <f>(sum(B22:B26)/2) +(0.2*sum(B22:B26))</f>
        <v>9338.7</v>
      </c>
      <c r="R29" s="13" t="s">
        <v>366</v>
      </c>
      <c r="S29" s="41">
        <v>107.0</v>
      </c>
    </row>
    <row r="30">
      <c r="R30" s="13" t="s">
        <v>367</v>
      </c>
      <c r="S30" s="41">
        <v>216.0</v>
      </c>
    </row>
    <row r="31">
      <c r="R31" s="13" t="s">
        <v>368</v>
      </c>
      <c r="S31" s="41">
        <v>4528.0</v>
      </c>
    </row>
    <row r="32">
      <c r="R32" s="13" t="s">
        <v>369</v>
      </c>
      <c r="S32" s="41">
        <v>703.0</v>
      </c>
    </row>
    <row r="33">
      <c r="R33" s="13" t="s">
        <v>370</v>
      </c>
      <c r="S33" s="41">
        <v>27.0</v>
      </c>
    </row>
    <row r="34">
      <c r="R34" s="13" t="s">
        <v>371</v>
      </c>
      <c r="S34" s="41">
        <v>0.0</v>
      </c>
    </row>
    <row r="41">
      <c r="R41" s="43" t="s">
        <v>372</v>
      </c>
    </row>
    <row r="42">
      <c r="R42" s="13" t="s">
        <v>373</v>
      </c>
      <c r="S42" s="41">
        <v>0.176</v>
      </c>
    </row>
    <row r="43">
      <c r="R43" s="13" t="s">
        <v>374</v>
      </c>
      <c r="S43" s="41">
        <v>0.239</v>
      </c>
    </row>
    <row r="44">
      <c r="R44" s="13" t="s">
        <v>375</v>
      </c>
      <c r="S44" s="41">
        <v>0.211</v>
      </c>
    </row>
    <row r="45">
      <c r="R45" s="13" t="s">
        <v>376</v>
      </c>
      <c r="S45" s="41">
        <v>0.152</v>
      </c>
    </row>
    <row r="46">
      <c r="R46" s="13" t="s">
        <v>377</v>
      </c>
      <c r="S46" s="41">
        <v>0.22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19.25"/>
    <col customWidth="1" min="14" max="14" width="8.63"/>
    <col customWidth="1" min="16" max="16" width="30.5"/>
    <col customWidth="1" min="17" max="17" width="9.13"/>
  </cols>
  <sheetData>
    <row r="1">
      <c r="A1" s="28" t="s">
        <v>327</v>
      </c>
      <c r="K1" s="42"/>
      <c r="M1" s="43"/>
      <c r="P1" s="43"/>
      <c r="Q1" s="43" t="s">
        <v>328</v>
      </c>
    </row>
    <row r="2">
      <c r="Q2" s="13" t="s">
        <v>329</v>
      </c>
      <c r="R2" s="41">
        <v>5202.0</v>
      </c>
    </row>
    <row r="3">
      <c r="A3" s="1" t="s">
        <v>380</v>
      </c>
      <c r="Q3" s="13" t="s">
        <v>331</v>
      </c>
      <c r="R3" s="41">
        <v>5954.0</v>
      </c>
    </row>
    <row r="4">
      <c r="A4" s="44" t="s">
        <v>332</v>
      </c>
      <c r="B4" s="44" t="s">
        <v>333</v>
      </c>
      <c r="Q4" s="13" t="s">
        <v>334</v>
      </c>
      <c r="R4" s="41">
        <v>6681.0</v>
      </c>
    </row>
    <row r="5">
      <c r="A5" s="11" t="s">
        <v>433</v>
      </c>
      <c r="B5" s="31">
        <v>1966.0</v>
      </c>
      <c r="Q5" s="13" t="s">
        <v>336</v>
      </c>
      <c r="R5" s="41">
        <v>6234.0</v>
      </c>
    </row>
    <row r="6">
      <c r="A6" s="11" t="s">
        <v>339</v>
      </c>
      <c r="B6" s="31">
        <v>945.0</v>
      </c>
      <c r="Q6" s="13" t="s">
        <v>338</v>
      </c>
      <c r="R6" s="41">
        <v>6824.0</v>
      </c>
    </row>
    <row r="7">
      <c r="A7" s="11" t="s">
        <v>341</v>
      </c>
      <c r="B7" s="31">
        <v>115.0</v>
      </c>
      <c r="Q7" s="13" t="s">
        <v>340</v>
      </c>
      <c r="R7" s="41">
        <v>3350.0</v>
      </c>
      <c r="V7" s="17">
        <f>sum(R2:R10)</f>
        <v>46120</v>
      </c>
    </row>
    <row r="8">
      <c r="Q8" s="13" t="s">
        <v>342</v>
      </c>
      <c r="R8" s="41">
        <v>7282.0</v>
      </c>
    </row>
    <row r="9">
      <c r="Q9" s="13" t="s">
        <v>343</v>
      </c>
      <c r="R9" s="41">
        <v>3271.0</v>
      </c>
    </row>
    <row r="10">
      <c r="Q10" s="13" t="s">
        <v>344</v>
      </c>
      <c r="R10" s="41">
        <v>1322.0</v>
      </c>
    </row>
    <row r="11">
      <c r="A11" s="1" t="s">
        <v>330</v>
      </c>
    </row>
    <row r="12">
      <c r="A12" s="44" t="s">
        <v>332</v>
      </c>
      <c r="B12" s="44" t="s">
        <v>333</v>
      </c>
    </row>
    <row r="13">
      <c r="A13" s="11" t="s">
        <v>434</v>
      </c>
      <c r="B13" s="31">
        <v>7075.0</v>
      </c>
      <c r="Q13" s="43" t="s">
        <v>346</v>
      </c>
    </row>
    <row r="14">
      <c r="A14" s="11" t="s">
        <v>339</v>
      </c>
      <c r="B14" s="31">
        <v>1814.0</v>
      </c>
      <c r="Q14" s="13" t="s">
        <v>348</v>
      </c>
      <c r="R14" s="41">
        <v>4461.0</v>
      </c>
    </row>
    <row r="15">
      <c r="A15" s="11" t="s">
        <v>341</v>
      </c>
      <c r="B15" s="31">
        <v>146.0</v>
      </c>
      <c r="Q15" s="13" t="s">
        <v>349</v>
      </c>
      <c r="R15" s="41">
        <v>907.0</v>
      </c>
    </row>
    <row r="16">
      <c r="Q16" s="13" t="s">
        <v>351</v>
      </c>
      <c r="R16" s="41">
        <v>132.0</v>
      </c>
    </row>
    <row r="17">
      <c r="Q17" s="13" t="s">
        <v>352</v>
      </c>
      <c r="R17" s="41">
        <v>72.0</v>
      </c>
    </row>
    <row r="18">
      <c r="Q18" s="13" t="s">
        <v>353</v>
      </c>
      <c r="R18" s="41">
        <v>1702.0</v>
      </c>
    </row>
    <row r="19">
      <c r="A19" s="28" t="s">
        <v>345</v>
      </c>
      <c r="Q19" s="13" t="s">
        <v>354</v>
      </c>
      <c r="R19" s="41">
        <v>13417.0</v>
      </c>
    </row>
    <row r="20">
      <c r="Q20" s="13" t="s">
        <v>355</v>
      </c>
      <c r="R20" s="41">
        <v>8557.0</v>
      </c>
    </row>
    <row r="21">
      <c r="A21" s="1" t="s">
        <v>347</v>
      </c>
      <c r="Q21" s="13" t="s">
        <v>356</v>
      </c>
      <c r="R21" s="41">
        <v>559.0</v>
      </c>
    </row>
    <row r="22">
      <c r="A22" s="44" t="s">
        <v>332</v>
      </c>
      <c r="B22" s="44" t="s">
        <v>333</v>
      </c>
      <c r="Q22" s="13" t="s">
        <v>358</v>
      </c>
      <c r="R22" s="41">
        <v>98.0</v>
      </c>
    </row>
    <row r="23">
      <c r="A23" s="11" t="s">
        <v>435</v>
      </c>
      <c r="B23" s="31">
        <v>2295.0</v>
      </c>
      <c r="Q23" s="13" t="s">
        <v>359</v>
      </c>
      <c r="R23" s="41">
        <v>4653.0</v>
      </c>
    </row>
    <row r="24">
      <c r="A24" s="11" t="s">
        <v>433</v>
      </c>
      <c r="B24" s="31">
        <v>898.0</v>
      </c>
      <c r="Q24" s="13" t="s">
        <v>360</v>
      </c>
      <c r="R24" s="41">
        <v>68.0</v>
      </c>
    </row>
    <row r="25">
      <c r="A25" s="11" t="s">
        <v>339</v>
      </c>
      <c r="B25" s="31">
        <v>800.0</v>
      </c>
      <c r="Q25" s="13" t="s">
        <v>361</v>
      </c>
      <c r="R25" s="41">
        <v>1745.0</v>
      </c>
    </row>
    <row r="26">
      <c r="A26" s="11" t="s">
        <v>341</v>
      </c>
      <c r="B26" s="31">
        <v>138.0</v>
      </c>
      <c r="Q26" s="13" t="s">
        <v>363</v>
      </c>
      <c r="R26" s="41">
        <v>694.0</v>
      </c>
    </row>
    <row r="27">
      <c r="Q27" s="13" t="s">
        <v>364</v>
      </c>
      <c r="R27" s="41">
        <v>664.0</v>
      </c>
    </row>
    <row r="28">
      <c r="Q28" s="13" t="s">
        <v>365</v>
      </c>
      <c r="R28" s="41">
        <v>782.0</v>
      </c>
    </row>
    <row r="29">
      <c r="Q29" s="13" t="s">
        <v>366</v>
      </c>
      <c r="R29" s="41">
        <v>306.0</v>
      </c>
    </row>
    <row r="30">
      <c r="A30" s="1" t="s">
        <v>357</v>
      </c>
      <c r="Q30" s="13" t="s">
        <v>367</v>
      </c>
      <c r="R30" s="41">
        <v>260.0</v>
      </c>
    </row>
    <row r="31">
      <c r="A31" s="44" t="s">
        <v>332</v>
      </c>
      <c r="B31" s="44" t="s">
        <v>333</v>
      </c>
      <c r="Q31" s="13" t="s">
        <v>368</v>
      </c>
      <c r="R31" s="41">
        <v>3557.0</v>
      </c>
    </row>
    <row r="32">
      <c r="A32" s="11" t="s">
        <v>434</v>
      </c>
      <c r="B32" s="31">
        <v>8862.0</v>
      </c>
      <c r="Q32" s="13" t="s">
        <v>369</v>
      </c>
      <c r="R32" s="41">
        <v>465.0</v>
      </c>
    </row>
    <row r="33">
      <c r="A33" s="11" t="s">
        <v>339</v>
      </c>
      <c r="B33" s="31">
        <v>2072.0</v>
      </c>
      <c r="Q33" s="13" t="s">
        <v>370</v>
      </c>
      <c r="R33" s="41">
        <v>93.0</v>
      </c>
    </row>
    <row r="34">
      <c r="A34" s="11" t="s">
        <v>341</v>
      </c>
      <c r="B34" s="31">
        <v>135.0</v>
      </c>
      <c r="Q34" s="13" t="s">
        <v>371</v>
      </c>
      <c r="R34" s="41">
        <v>107.0</v>
      </c>
    </row>
    <row r="41">
      <c r="Q41" s="43" t="s">
        <v>372</v>
      </c>
    </row>
    <row r="42">
      <c r="Q42" s="13" t="s">
        <v>373</v>
      </c>
      <c r="R42" s="41">
        <v>0.14600000000000002</v>
      </c>
    </row>
    <row r="43">
      <c r="Q43" s="13" t="s">
        <v>374</v>
      </c>
      <c r="R43" s="41">
        <v>0.241</v>
      </c>
    </row>
    <row r="44">
      <c r="Q44" s="13" t="s">
        <v>375</v>
      </c>
      <c r="R44" s="41">
        <v>0.239</v>
      </c>
    </row>
    <row r="45">
      <c r="Q45" s="13" t="s">
        <v>376</v>
      </c>
      <c r="R45" s="41">
        <v>0.178</v>
      </c>
    </row>
    <row r="46">
      <c r="Q46" s="13" t="s">
        <v>377</v>
      </c>
      <c r="R46" s="41">
        <v>0.197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19.25"/>
    <col customWidth="1" min="14" max="14" width="8.63"/>
    <col customWidth="1" min="16" max="16" width="30.5"/>
    <col customWidth="1" min="17" max="17" width="9.13"/>
  </cols>
  <sheetData>
    <row r="1">
      <c r="A1" s="28" t="s">
        <v>327</v>
      </c>
      <c r="K1" s="42"/>
      <c r="M1" s="43"/>
      <c r="P1" s="43"/>
      <c r="Q1" s="43" t="s">
        <v>328</v>
      </c>
    </row>
    <row r="2">
      <c r="Q2" s="13" t="s">
        <v>329</v>
      </c>
      <c r="R2" s="41">
        <v>6143.0</v>
      </c>
    </row>
    <row r="3">
      <c r="A3" s="1" t="s">
        <v>330</v>
      </c>
      <c r="Q3" s="13" t="s">
        <v>331</v>
      </c>
      <c r="R3" s="41">
        <v>6312.0</v>
      </c>
    </row>
    <row r="4">
      <c r="A4" s="44" t="s">
        <v>332</v>
      </c>
      <c r="B4" s="44" t="s">
        <v>333</v>
      </c>
      <c r="Q4" s="13" t="s">
        <v>334</v>
      </c>
      <c r="R4" s="41">
        <v>8814.0</v>
      </c>
    </row>
    <row r="5">
      <c r="A5" s="11" t="s">
        <v>436</v>
      </c>
      <c r="B5" s="31">
        <v>3898.0</v>
      </c>
      <c r="Q5" s="13" t="s">
        <v>336</v>
      </c>
      <c r="R5" s="41">
        <v>6195.0</v>
      </c>
    </row>
    <row r="6">
      <c r="A6" s="11" t="s">
        <v>339</v>
      </c>
      <c r="B6" s="31">
        <v>1040.0</v>
      </c>
      <c r="Q6" s="13" t="s">
        <v>338</v>
      </c>
      <c r="R6" s="41">
        <v>6119.0</v>
      </c>
    </row>
    <row r="7">
      <c r="A7" s="11" t="s">
        <v>341</v>
      </c>
      <c r="B7" s="31">
        <v>257.0</v>
      </c>
      <c r="Q7" s="13" t="s">
        <v>340</v>
      </c>
      <c r="R7" s="41">
        <v>3322.0</v>
      </c>
    </row>
    <row r="8">
      <c r="Q8" s="13" t="s">
        <v>342</v>
      </c>
      <c r="R8" s="41">
        <v>6232.0</v>
      </c>
    </row>
    <row r="9">
      <c r="Q9" s="13" t="s">
        <v>343</v>
      </c>
      <c r="R9" s="41">
        <v>3656.0</v>
      </c>
    </row>
    <row r="10">
      <c r="Q10" s="13" t="s">
        <v>344</v>
      </c>
      <c r="R10" s="41">
        <v>2207.0</v>
      </c>
      <c r="U10" s="17">
        <f>sum(R2:R10)</f>
        <v>49000</v>
      </c>
    </row>
    <row r="11">
      <c r="A11" s="28" t="s">
        <v>345</v>
      </c>
    </row>
    <row r="13">
      <c r="A13" s="1" t="s">
        <v>357</v>
      </c>
      <c r="Q13" s="43" t="s">
        <v>346</v>
      </c>
    </row>
    <row r="14">
      <c r="A14" s="44" t="s">
        <v>332</v>
      </c>
      <c r="B14" s="44" t="s">
        <v>333</v>
      </c>
      <c r="Q14" s="13" t="s">
        <v>348</v>
      </c>
      <c r="R14" s="41">
        <v>3234.0</v>
      </c>
    </row>
    <row r="15">
      <c r="A15" s="11" t="s">
        <v>436</v>
      </c>
      <c r="B15" s="31">
        <v>4898.0</v>
      </c>
      <c r="Q15" s="13" t="s">
        <v>349</v>
      </c>
      <c r="R15" s="41">
        <v>443.0</v>
      </c>
    </row>
    <row r="16">
      <c r="A16" s="11" t="s">
        <v>437</v>
      </c>
      <c r="B16" s="31">
        <v>1173.0</v>
      </c>
      <c r="Q16" s="13" t="s">
        <v>351</v>
      </c>
      <c r="R16" s="41">
        <v>58.0</v>
      </c>
    </row>
    <row r="17">
      <c r="A17" s="11" t="s">
        <v>339</v>
      </c>
      <c r="B17" s="31">
        <v>792.0</v>
      </c>
      <c r="Q17" s="13" t="s">
        <v>352</v>
      </c>
      <c r="R17" s="41">
        <v>64.0</v>
      </c>
    </row>
    <row r="18">
      <c r="A18" s="11" t="s">
        <v>341</v>
      </c>
      <c r="B18" s="31">
        <v>272.0</v>
      </c>
      <c r="Q18" s="13" t="s">
        <v>353</v>
      </c>
      <c r="R18" s="41">
        <v>1177.0</v>
      </c>
    </row>
    <row r="19">
      <c r="Q19" s="13" t="s">
        <v>354</v>
      </c>
      <c r="R19" s="41">
        <v>23395.0</v>
      </c>
    </row>
    <row r="20">
      <c r="Q20" s="13" t="s">
        <v>355</v>
      </c>
      <c r="R20" s="41">
        <v>5444.0</v>
      </c>
    </row>
    <row r="21">
      <c r="Q21" s="13" t="s">
        <v>356</v>
      </c>
      <c r="R21" s="41">
        <v>294.0</v>
      </c>
    </row>
    <row r="22">
      <c r="Q22" s="13" t="s">
        <v>358</v>
      </c>
      <c r="R22" s="41">
        <v>433.0</v>
      </c>
    </row>
    <row r="23">
      <c r="Q23" s="13" t="s">
        <v>359</v>
      </c>
      <c r="R23" s="41">
        <v>2726.0</v>
      </c>
    </row>
    <row r="24">
      <c r="Q24" s="13" t="s">
        <v>360</v>
      </c>
      <c r="R24" s="41">
        <v>224.0</v>
      </c>
    </row>
    <row r="25">
      <c r="Q25" s="13" t="s">
        <v>361</v>
      </c>
      <c r="R25" s="41">
        <v>1503.0</v>
      </c>
    </row>
    <row r="26">
      <c r="Q26" s="13" t="s">
        <v>363</v>
      </c>
      <c r="R26" s="41">
        <v>1222.0</v>
      </c>
    </row>
    <row r="27">
      <c r="Q27" s="13" t="s">
        <v>364</v>
      </c>
      <c r="R27" s="41">
        <v>2997.0</v>
      </c>
    </row>
    <row r="28">
      <c r="Q28" s="13" t="s">
        <v>365</v>
      </c>
      <c r="R28" s="41">
        <v>585.0</v>
      </c>
    </row>
    <row r="29">
      <c r="Q29" s="13" t="s">
        <v>366</v>
      </c>
      <c r="R29" s="41">
        <v>61.0</v>
      </c>
    </row>
    <row r="30">
      <c r="Q30" s="13" t="s">
        <v>367</v>
      </c>
      <c r="R30" s="41">
        <v>75.0</v>
      </c>
    </row>
    <row r="31">
      <c r="Q31" s="13" t="s">
        <v>368</v>
      </c>
      <c r="R31" s="41">
        <v>2006.0</v>
      </c>
    </row>
    <row r="32">
      <c r="Q32" s="13" t="s">
        <v>369</v>
      </c>
      <c r="R32" s="41">
        <v>329.0</v>
      </c>
    </row>
    <row r="33">
      <c r="Q33" s="13" t="s">
        <v>370</v>
      </c>
      <c r="R33" s="41">
        <v>44.0</v>
      </c>
    </row>
    <row r="34">
      <c r="Q34" s="13" t="s">
        <v>371</v>
      </c>
      <c r="R34" s="41">
        <v>0.0</v>
      </c>
    </row>
    <row r="41">
      <c r="Q41" s="43" t="s">
        <v>372</v>
      </c>
    </row>
    <row r="42">
      <c r="Q42" s="13" t="s">
        <v>373</v>
      </c>
      <c r="R42" s="41">
        <v>0.24</v>
      </c>
    </row>
    <row r="43">
      <c r="Q43" s="13" t="s">
        <v>374</v>
      </c>
      <c r="R43" s="41">
        <v>0.252</v>
      </c>
    </row>
    <row r="44">
      <c r="Q44" s="13" t="s">
        <v>375</v>
      </c>
      <c r="R44" s="41">
        <v>0.218</v>
      </c>
    </row>
    <row r="45">
      <c r="Q45" s="13" t="s">
        <v>376</v>
      </c>
      <c r="R45" s="41">
        <v>0.13</v>
      </c>
    </row>
    <row r="46">
      <c r="Q46" s="13" t="s">
        <v>377</v>
      </c>
      <c r="R46" s="41">
        <v>0.159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8.63"/>
    <col customWidth="1" min="16" max="16" width="30.5"/>
    <col customWidth="1" min="17" max="17" width="20.13"/>
  </cols>
  <sheetData>
    <row r="1">
      <c r="A1" s="43" t="s">
        <v>327</v>
      </c>
      <c r="M1" s="43"/>
      <c r="Q1" s="43" t="s">
        <v>328</v>
      </c>
    </row>
    <row r="2">
      <c r="A2" s="45" t="s">
        <v>378</v>
      </c>
      <c r="Q2" s="13" t="s">
        <v>329</v>
      </c>
      <c r="R2" s="41">
        <v>10390.0</v>
      </c>
    </row>
    <row r="3">
      <c r="Q3" s="13" t="s">
        <v>331</v>
      </c>
      <c r="R3" s="41">
        <v>6312.0</v>
      </c>
    </row>
    <row r="4">
      <c r="Q4" s="13" t="s">
        <v>334</v>
      </c>
      <c r="R4" s="41">
        <v>10442.0</v>
      </c>
    </row>
    <row r="5">
      <c r="Q5" s="13" t="s">
        <v>336</v>
      </c>
      <c r="R5" s="41">
        <v>10107.0</v>
      </c>
    </row>
    <row r="6">
      <c r="Q6" s="13" t="s">
        <v>338</v>
      </c>
      <c r="R6" s="41">
        <v>6890.0</v>
      </c>
    </row>
    <row r="7">
      <c r="Q7" s="13" t="s">
        <v>340</v>
      </c>
      <c r="R7" s="41">
        <v>3861.0</v>
      </c>
    </row>
    <row r="8">
      <c r="Q8" s="13" t="s">
        <v>342</v>
      </c>
      <c r="R8" s="41">
        <v>6848.0</v>
      </c>
    </row>
    <row r="9">
      <c r="Q9" s="13" t="s">
        <v>343</v>
      </c>
      <c r="R9" s="41">
        <v>2218.0</v>
      </c>
    </row>
    <row r="10">
      <c r="Q10" s="13" t="s">
        <v>344</v>
      </c>
      <c r="R10" s="41">
        <v>944.0</v>
      </c>
      <c r="T10" s="17">
        <f>sum(R2:R10)</f>
        <v>58012</v>
      </c>
    </row>
    <row r="13">
      <c r="Q13" s="43" t="s">
        <v>346</v>
      </c>
    </row>
    <row r="14">
      <c r="Q14" s="13" t="s">
        <v>348</v>
      </c>
      <c r="R14" s="41">
        <v>10098.0</v>
      </c>
    </row>
    <row r="15">
      <c r="Q15" s="13" t="s">
        <v>349</v>
      </c>
      <c r="R15" s="41">
        <v>2164.0</v>
      </c>
    </row>
    <row r="16">
      <c r="Q16" s="13" t="s">
        <v>351</v>
      </c>
      <c r="R16" s="41">
        <v>112.0</v>
      </c>
    </row>
    <row r="17">
      <c r="Q17" s="13" t="s">
        <v>352</v>
      </c>
      <c r="R17" s="41">
        <v>177.0</v>
      </c>
    </row>
    <row r="18">
      <c r="Q18" s="13" t="s">
        <v>353</v>
      </c>
      <c r="R18" s="41">
        <v>854.0</v>
      </c>
    </row>
    <row r="19">
      <c r="Q19" s="13" t="s">
        <v>354</v>
      </c>
      <c r="R19" s="41">
        <v>19115.0</v>
      </c>
    </row>
    <row r="20">
      <c r="A20" s="43" t="s">
        <v>345</v>
      </c>
      <c r="Q20" s="13" t="s">
        <v>355</v>
      </c>
      <c r="R20" s="41">
        <v>2805.0</v>
      </c>
    </row>
    <row r="21">
      <c r="A21" s="1" t="s">
        <v>399</v>
      </c>
      <c r="B21" s="1" t="s">
        <v>400</v>
      </c>
      <c r="Q21" s="13" t="s">
        <v>356</v>
      </c>
      <c r="R21" s="41">
        <v>383.0</v>
      </c>
    </row>
    <row r="22">
      <c r="A22" s="13" t="s">
        <v>438</v>
      </c>
      <c r="B22" s="41">
        <v>3262.0</v>
      </c>
      <c r="Q22" s="13" t="s">
        <v>358</v>
      </c>
      <c r="R22" s="41">
        <v>362.0</v>
      </c>
    </row>
    <row r="23">
      <c r="A23" s="13" t="s">
        <v>341</v>
      </c>
      <c r="B23" s="41">
        <v>230.0</v>
      </c>
      <c r="Q23" s="13" t="s">
        <v>359</v>
      </c>
      <c r="R23" s="41">
        <v>3104.0</v>
      </c>
    </row>
    <row r="24">
      <c r="A24" s="13" t="s">
        <v>339</v>
      </c>
      <c r="B24" s="41">
        <v>560.0</v>
      </c>
      <c r="Q24" s="13" t="s">
        <v>360</v>
      </c>
      <c r="R24" s="41">
        <v>747.0</v>
      </c>
    </row>
    <row r="25">
      <c r="Q25" s="13" t="s">
        <v>361</v>
      </c>
      <c r="R25" s="41">
        <v>2520.0</v>
      </c>
    </row>
    <row r="26">
      <c r="Q26" s="13" t="s">
        <v>363</v>
      </c>
      <c r="R26" s="41">
        <v>824.0</v>
      </c>
    </row>
    <row r="27">
      <c r="Q27" s="13" t="s">
        <v>364</v>
      </c>
      <c r="R27" s="41">
        <v>594.0</v>
      </c>
    </row>
    <row r="28">
      <c r="Q28" s="13" t="s">
        <v>365</v>
      </c>
      <c r="R28" s="41">
        <v>1546.0</v>
      </c>
    </row>
    <row r="29">
      <c r="Q29" s="13" t="s">
        <v>366</v>
      </c>
      <c r="R29" s="41">
        <v>255.0</v>
      </c>
    </row>
    <row r="30">
      <c r="Q30" s="13" t="s">
        <v>367</v>
      </c>
      <c r="R30" s="41">
        <v>463.0</v>
      </c>
    </row>
    <row r="31">
      <c r="Q31" s="13" t="s">
        <v>368</v>
      </c>
      <c r="R31" s="41">
        <v>4561.0</v>
      </c>
    </row>
    <row r="32">
      <c r="Q32" s="13" t="s">
        <v>369</v>
      </c>
      <c r="R32" s="41">
        <v>826.0</v>
      </c>
    </row>
    <row r="33">
      <c r="Q33" s="13" t="s">
        <v>370</v>
      </c>
      <c r="R33" s="41">
        <v>146.0</v>
      </c>
    </row>
    <row r="34">
      <c r="Q34" s="13" t="s">
        <v>371</v>
      </c>
      <c r="R34" s="41">
        <v>30.0</v>
      </c>
    </row>
    <row r="41">
      <c r="Q41" s="43" t="s">
        <v>372</v>
      </c>
    </row>
    <row r="42">
      <c r="Q42" s="13" t="s">
        <v>373</v>
      </c>
      <c r="R42" s="41">
        <v>0.126</v>
      </c>
    </row>
    <row r="43">
      <c r="Q43" s="13" t="s">
        <v>374</v>
      </c>
      <c r="R43" s="41">
        <v>0.2</v>
      </c>
    </row>
    <row r="44">
      <c r="Q44" s="13" t="s">
        <v>375</v>
      </c>
      <c r="R44" s="41">
        <v>0.295</v>
      </c>
    </row>
    <row r="45">
      <c r="Q45" s="13" t="s">
        <v>376</v>
      </c>
      <c r="R45" s="41">
        <v>0.166</v>
      </c>
    </row>
    <row r="46">
      <c r="Q46" s="13" t="s">
        <v>377</v>
      </c>
      <c r="R46" s="41">
        <v>0.214</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7.75"/>
    <col customWidth="1" min="16" max="16" width="30.5"/>
    <col customWidth="1" min="17" max="17" width="8.25"/>
  </cols>
  <sheetData>
    <row r="1">
      <c r="A1" s="43" t="s">
        <v>327</v>
      </c>
      <c r="M1" s="43"/>
      <c r="Q1" s="43" t="s">
        <v>328</v>
      </c>
    </row>
    <row r="2">
      <c r="A2" s="45" t="s">
        <v>378</v>
      </c>
      <c r="Q2" s="13" t="s">
        <v>329</v>
      </c>
      <c r="R2" s="41">
        <v>10442.0</v>
      </c>
    </row>
    <row r="3">
      <c r="Q3" s="13" t="s">
        <v>331</v>
      </c>
      <c r="R3" s="41">
        <v>7582.0</v>
      </c>
    </row>
    <row r="4">
      <c r="Q4" s="13" t="s">
        <v>334</v>
      </c>
      <c r="R4" s="41">
        <v>9380.0</v>
      </c>
    </row>
    <row r="5">
      <c r="Q5" s="13" t="s">
        <v>336</v>
      </c>
      <c r="R5" s="41">
        <v>9056.0</v>
      </c>
    </row>
    <row r="6">
      <c r="Q6" s="13" t="s">
        <v>338</v>
      </c>
      <c r="R6" s="41">
        <v>7158.0</v>
      </c>
    </row>
    <row r="7">
      <c r="Q7" s="13" t="s">
        <v>340</v>
      </c>
      <c r="R7" s="41">
        <v>3845.0</v>
      </c>
    </row>
    <row r="8">
      <c r="Q8" s="13" t="s">
        <v>342</v>
      </c>
      <c r="R8" s="41">
        <v>7151.0</v>
      </c>
    </row>
    <row r="9">
      <c r="Q9" s="13" t="s">
        <v>343</v>
      </c>
      <c r="R9" s="41">
        <v>2258.0</v>
      </c>
    </row>
    <row r="10">
      <c r="Q10" s="13" t="s">
        <v>344</v>
      </c>
      <c r="R10" s="41">
        <v>831.0</v>
      </c>
    </row>
    <row r="13">
      <c r="Q13" s="43" t="s">
        <v>346</v>
      </c>
      <c r="X13" s="17">
        <f>sum(R2:R10)</f>
        <v>57703</v>
      </c>
    </row>
    <row r="14">
      <c r="Q14" s="13" t="s">
        <v>348</v>
      </c>
      <c r="R14" s="41">
        <v>9306.0</v>
      </c>
    </row>
    <row r="15">
      <c r="Q15" s="13" t="s">
        <v>349</v>
      </c>
      <c r="R15" s="41">
        <v>2309.0</v>
      </c>
    </row>
    <row r="16">
      <c r="Q16" s="13" t="s">
        <v>351</v>
      </c>
      <c r="R16" s="41">
        <v>168.0</v>
      </c>
    </row>
    <row r="17">
      <c r="Q17" s="13" t="s">
        <v>352</v>
      </c>
      <c r="R17" s="41">
        <v>79.0</v>
      </c>
    </row>
    <row r="18">
      <c r="Q18" s="13" t="s">
        <v>353</v>
      </c>
      <c r="R18" s="41">
        <v>923.0</v>
      </c>
    </row>
    <row r="19">
      <c r="Q19" s="13" t="s">
        <v>354</v>
      </c>
      <c r="R19" s="41">
        <v>12604.0</v>
      </c>
    </row>
    <row r="20">
      <c r="A20" s="43" t="s">
        <v>345</v>
      </c>
      <c r="Q20" s="13" t="s">
        <v>355</v>
      </c>
      <c r="R20" s="41">
        <v>3883.0</v>
      </c>
    </row>
    <row r="21">
      <c r="A21" s="1" t="s">
        <v>399</v>
      </c>
      <c r="B21" s="1" t="s">
        <v>400</v>
      </c>
      <c r="Q21" s="13" t="s">
        <v>356</v>
      </c>
      <c r="R21" s="41">
        <v>538.0</v>
      </c>
    </row>
    <row r="22">
      <c r="A22" s="13" t="s">
        <v>439</v>
      </c>
      <c r="B22" s="41">
        <v>2713.0</v>
      </c>
      <c r="Q22" s="13" t="s">
        <v>358</v>
      </c>
      <c r="R22" s="41">
        <v>187.0</v>
      </c>
    </row>
    <row r="23">
      <c r="A23" s="13" t="s">
        <v>440</v>
      </c>
      <c r="B23" s="41">
        <v>5332.0</v>
      </c>
      <c r="Q23" s="13" t="s">
        <v>359</v>
      </c>
      <c r="R23" s="41">
        <v>2156.0</v>
      </c>
    </row>
    <row r="24">
      <c r="A24" s="13" t="s">
        <v>341</v>
      </c>
      <c r="B24" s="41">
        <v>103.0</v>
      </c>
      <c r="Q24" s="13" t="s">
        <v>360</v>
      </c>
      <c r="R24" s="41">
        <v>124.0</v>
      </c>
    </row>
    <row r="25">
      <c r="A25" s="13" t="s">
        <v>339</v>
      </c>
      <c r="B25" s="41">
        <v>1179.0</v>
      </c>
      <c r="Q25" s="13" t="s">
        <v>361</v>
      </c>
      <c r="R25" s="41">
        <v>4685.0</v>
      </c>
    </row>
    <row r="26">
      <c r="Q26" s="13" t="s">
        <v>363</v>
      </c>
      <c r="R26" s="41">
        <v>1544.0</v>
      </c>
    </row>
    <row r="27">
      <c r="Q27" s="13" t="s">
        <v>364</v>
      </c>
      <c r="R27" s="41">
        <v>1500.0</v>
      </c>
    </row>
    <row r="28">
      <c r="Q28" s="13" t="s">
        <v>365</v>
      </c>
      <c r="R28" s="41">
        <v>998.0</v>
      </c>
    </row>
    <row r="29">
      <c r="Q29" s="13" t="s">
        <v>366</v>
      </c>
      <c r="R29" s="41">
        <v>437.0</v>
      </c>
    </row>
    <row r="30">
      <c r="Q30" s="13" t="s">
        <v>367</v>
      </c>
      <c r="R30" s="41">
        <v>288.0</v>
      </c>
    </row>
    <row r="31">
      <c r="Q31" s="13" t="s">
        <v>368</v>
      </c>
      <c r="R31" s="41">
        <v>3992.0</v>
      </c>
    </row>
    <row r="32">
      <c r="Q32" s="13" t="s">
        <v>369</v>
      </c>
      <c r="R32" s="41">
        <v>614.0</v>
      </c>
    </row>
    <row r="33">
      <c r="Q33" s="13" t="s">
        <v>370</v>
      </c>
      <c r="R33" s="41">
        <v>98.0</v>
      </c>
    </row>
    <row r="34">
      <c r="Q34" s="13" t="s">
        <v>371</v>
      </c>
      <c r="R34" s="41">
        <v>40.0</v>
      </c>
    </row>
    <row r="41">
      <c r="Q41" s="43" t="s">
        <v>372</v>
      </c>
    </row>
    <row r="42">
      <c r="Q42" s="13" t="s">
        <v>373</v>
      </c>
      <c r="R42" s="41">
        <v>0.16699999999999998</v>
      </c>
    </row>
    <row r="43">
      <c r="Q43" s="13" t="s">
        <v>374</v>
      </c>
      <c r="R43" s="41">
        <v>0.237</v>
      </c>
    </row>
    <row r="44">
      <c r="Q44" s="13" t="s">
        <v>375</v>
      </c>
      <c r="R44" s="41">
        <v>0.258</v>
      </c>
    </row>
    <row r="45">
      <c r="Q45" s="13" t="s">
        <v>376</v>
      </c>
      <c r="R45" s="41">
        <v>0.13</v>
      </c>
    </row>
    <row r="46">
      <c r="Q46" s="13" t="s">
        <v>377</v>
      </c>
      <c r="R46" s="41">
        <v>0.208</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19.25"/>
    <col customWidth="1" min="14" max="14" width="8.63"/>
    <col customWidth="1" min="16" max="16" width="30.5"/>
    <col customWidth="1" min="17" max="17" width="9.13"/>
  </cols>
  <sheetData>
    <row r="1">
      <c r="A1" s="28" t="s">
        <v>327</v>
      </c>
      <c r="K1" s="42"/>
      <c r="M1" s="43"/>
      <c r="P1" s="43" t="s">
        <v>328</v>
      </c>
    </row>
    <row r="2">
      <c r="P2" s="13" t="s">
        <v>329</v>
      </c>
      <c r="Q2" s="41">
        <v>8444.0</v>
      </c>
    </row>
    <row r="3">
      <c r="A3" s="1" t="s">
        <v>380</v>
      </c>
      <c r="P3" s="13" t="s">
        <v>331</v>
      </c>
      <c r="Q3" s="41">
        <v>6408.0</v>
      </c>
    </row>
    <row r="4">
      <c r="A4" s="44" t="s">
        <v>332</v>
      </c>
      <c r="B4" s="44" t="s">
        <v>333</v>
      </c>
      <c r="P4" s="13" t="s">
        <v>334</v>
      </c>
      <c r="Q4" s="41">
        <v>6455.0</v>
      </c>
    </row>
    <row r="5">
      <c r="A5" s="11" t="s">
        <v>441</v>
      </c>
      <c r="B5" s="31">
        <v>1586.0</v>
      </c>
      <c r="P5" s="13" t="s">
        <v>336</v>
      </c>
      <c r="Q5" s="41">
        <v>7309.0</v>
      </c>
    </row>
    <row r="6">
      <c r="A6" s="11" t="s">
        <v>442</v>
      </c>
      <c r="B6" s="31">
        <v>426.0</v>
      </c>
      <c r="P6" s="13" t="s">
        <v>338</v>
      </c>
      <c r="Q6" s="41">
        <v>5125.0</v>
      </c>
    </row>
    <row r="7">
      <c r="A7" s="11" t="s">
        <v>339</v>
      </c>
      <c r="B7" s="31">
        <v>146.0</v>
      </c>
      <c r="P7" s="13" t="s">
        <v>340</v>
      </c>
      <c r="Q7" s="41">
        <v>2706.0</v>
      </c>
    </row>
    <row r="8">
      <c r="A8" s="11" t="s">
        <v>341</v>
      </c>
      <c r="B8" s="31">
        <v>282.0</v>
      </c>
      <c r="P8" s="13" t="s">
        <v>342</v>
      </c>
      <c r="Q8" s="41">
        <v>5836.0</v>
      </c>
    </row>
    <row r="9">
      <c r="P9" s="13" t="s">
        <v>343</v>
      </c>
      <c r="Q9" s="41">
        <v>2240.0</v>
      </c>
    </row>
    <row r="10">
      <c r="P10" s="13" t="s">
        <v>344</v>
      </c>
      <c r="Q10" s="41">
        <v>364.0</v>
      </c>
    </row>
    <row r="12">
      <c r="A12" s="1" t="s">
        <v>330</v>
      </c>
    </row>
    <row r="13">
      <c r="A13" s="44" t="s">
        <v>332</v>
      </c>
      <c r="B13" s="44" t="s">
        <v>333</v>
      </c>
      <c r="P13" s="43" t="s">
        <v>346</v>
      </c>
    </row>
    <row r="14">
      <c r="A14" s="11" t="s">
        <v>443</v>
      </c>
      <c r="B14" s="31">
        <v>1807.0</v>
      </c>
      <c r="P14" s="13" t="s">
        <v>348</v>
      </c>
      <c r="Q14" s="41">
        <v>5695.0</v>
      </c>
    </row>
    <row r="15">
      <c r="A15" s="11" t="s">
        <v>444</v>
      </c>
      <c r="B15" s="31">
        <v>1729.0</v>
      </c>
      <c r="P15" s="13" t="s">
        <v>349</v>
      </c>
      <c r="Q15" s="41">
        <v>1288.0</v>
      </c>
    </row>
    <row r="16">
      <c r="A16" s="11" t="s">
        <v>339</v>
      </c>
      <c r="B16" s="31">
        <v>176.0</v>
      </c>
      <c r="P16" s="13" t="s">
        <v>351</v>
      </c>
      <c r="Q16" s="41">
        <v>284.0</v>
      </c>
    </row>
    <row r="17">
      <c r="A17" s="11" t="s">
        <v>341</v>
      </c>
      <c r="B17" s="31">
        <v>239.0</v>
      </c>
      <c r="P17" s="13" t="s">
        <v>352</v>
      </c>
      <c r="Q17" s="41">
        <v>22.0</v>
      </c>
    </row>
    <row r="18">
      <c r="P18" s="13" t="s">
        <v>353</v>
      </c>
      <c r="Q18" s="41">
        <v>320.0</v>
      </c>
    </row>
    <row r="19">
      <c r="P19" s="13" t="s">
        <v>354</v>
      </c>
      <c r="Q19" s="41">
        <v>2950.0</v>
      </c>
    </row>
    <row r="20">
      <c r="P20" s="13" t="s">
        <v>355</v>
      </c>
      <c r="Q20" s="41">
        <v>998.0</v>
      </c>
    </row>
    <row r="21">
      <c r="A21" s="28" t="s">
        <v>345</v>
      </c>
      <c r="P21" s="13" t="s">
        <v>356</v>
      </c>
      <c r="Q21" s="41">
        <v>80.0</v>
      </c>
    </row>
    <row r="22">
      <c r="P22" s="13" t="s">
        <v>358</v>
      </c>
      <c r="Q22" s="41">
        <v>53.0</v>
      </c>
    </row>
    <row r="23">
      <c r="A23" s="1" t="s">
        <v>347</v>
      </c>
      <c r="P23" s="13" t="s">
        <v>359</v>
      </c>
      <c r="Q23" s="41">
        <v>1018.0</v>
      </c>
    </row>
    <row r="24">
      <c r="A24" s="44" t="s">
        <v>332</v>
      </c>
      <c r="B24" s="44" t="s">
        <v>333</v>
      </c>
      <c r="P24" s="13" t="s">
        <v>360</v>
      </c>
      <c r="Q24" s="41">
        <v>89.0</v>
      </c>
    </row>
    <row r="25">
      <c r="A25" s="11" t="s">
        <v>441</v>
      </c>
      <c r="B25" s="31">
        <v>2342.0</v>
      </c>
      <c r="P25" s="13" t="s">
        <v>361</v>
      </c>
      <c r="Q25" s="41">
        <v>15545.0</v>
      </c>
    </row>
    <row r="26">
      <c r="A26" s="11" t="s">
        <v>339</v>
      </c>
      <c r="B26" s="31">
        <v>569.0</v>
      </c>
      <c r="P26" s="13" t="s">
        <v>363</v>
      </c>
      <c r="Q26" s="41">
        <v>975.0</v>
      </c>
    </row>
    <row r="27">
      <c r="A27" s="11" t="s">
        <v>341</v>
      </c>
      <c r="B27" s="31">
        <v>146.0</v>
      </c>
      <c r="P27" s="13" t="s">
        <v>364</v>
      </c>
      <c r="Q27" s="41">
        <v>4413.0</v>
      </c>
    </row>
    <row r="28">
      <c r="P28" s="13" t="s">
        <v>365</v>
      </c>
      <c r="Q28" s="41">
        <v>776.0</v>
      </c>
    </row>
    <row r="29">
      <c r="P29" s="13" t="s">
        <v>366</v>
      </c>
      <c r="Q29" s="41">
        <v>101.0</v>
      </c>
    </row>
    <row r="30">
      <c r="P30" s="13" t="s">
        <v>367</v>
      </c>
      <c r="Q30" s="41">
        <v>152.0</v>
      </c>
    </row>
    <row r="31">
      <c r="A31" s="1" t="s">
        <v>357</v>
      </c>
      <c r="P31" s="13" t="s">
        <v>368</v>
      </c>
      <c r="Q31" s="41">
        <v>1265.0</v>
      </c>
    </row>
    <row r="32">
      <c r="A32" s="44" t="s">
        <v>332</v>
      </c>
      <c r="B32" s="44" t="s">
        <v>333</v>
      </c>
      <c r="P32" s="13" t="s">
        <v>369</v>
      </c>
      <c r="Q32" s="41">
        <v>274.0</v>
      </c>
    </row>
    <row r="33">
      <c r="A33" s="11" t="s">
        <v>445</v>
      </c>
      <c r="B33" s="31">
        <v>4020.0</v>
      </c>
      <c r="P33" s="13" t="s">
        <v>370</v>
      </c>
      <c r="Q33" s="41">
        <v>46.0</v>
      </c>
    </row>
    <row r="34">
      <c r="A34" s="11" t="s">
        <v>339</v>
      </c>
      <c r="B34" s="31">
        <v>635.0</v>
      </c>
      <c r="P34" s="13" t="s">
        <v>371</v>
      </c>
      <c r="Q34" s="41">
        <v>93.0</v>
      </c>
    </row>
    <row r="35">
      <c r="A35" s="11" t="s">
        <v>341</v>
      </c>
      <c r="B35" s="31">
        <v>188.0</v>
      </c>
    </row>
    <row r="41">
      <c r="P41" s="43" t="s">
        <v>372</v>
      </c>
    </row>
    <row r="42">
      <c r="P42" s="13" t="s">
        <v>373</v>
      </c>
      <c r="Q42" s="41">
        <v>0.31</v>
      </c>
    </row>
    <row r="43">
      <c r="P43" s="13" t="s">
        <v>374</v>
      </c>
      <c r="Q43" s="41">
        <v>0.263</v>
      </c>
    </row>
    <row r="44">
      <c r="P44" s="13" t="s">
        <v>375</v>
      </c>
      <c r="Q44" s="41">
        <v>0.221</v>
      </c>
    </row>
    <row r="45">
      <c r="P45" s="13" t="s">
        <v>376</v>
      </c>
      <c r="Q45" s="41">
        <v>0.098</v>
      </c>
    </row>
    <row r="46">
      <c r="P46" s="13" t="s">
        <v>377</v>
      </c>
      <c r="Q46" s="41">
        <v>0.108</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5.13"/>
    <col customWidth="1" min="10" max="10" width="53.13"/>
    <col customWidth="1" min="11" max="11" width="5.5"/>
    <col customWidth="1" min="13" max="13" width="19.25"/>
    <col customWidth="1" min="14" max="14" width="8.63"/>
    <col customWidth="1" min="16" max="16" width="30.5"/>
    <col customWidth="1" min="17" max="17" width="9.13"/>
  </cols>
  <sheetData>
    <row r="1">
      <c r="A1" s="28" t="s">
        <v>327</v>
      </c>
      <c r="K1" s="42"/>
      <c r="M1" s="43"/>
      <c r="P1" s="43" t="s">
        <v>328</v>
      </c>
    </row>
    <row r="2">
      <c r="P2" s="13" t="s">
        <v>329</v>
      </c>
      <c r="Q2" s="41">
        <v>10115.0</v>
      </c>
    </row>
    <row r="3">
      <c r="A3" s="1" t="s">
        <v>380</v>
      </c>
      <c r="P3" s="13" t="s">
        <v>331</v>
      </c>
      <c r="Q3" s="41">
        <v>14552.0</v>
      </c>
    </row>
    <row r="4">
      <c r="A4" s="44" t="s">
        <v>332</v>
      </c>
      <c r="B4" s="44" t="s">
        <v>333</v>
      </c>
      <c r="P4" s="13" t="s">
        <v>334</v>
      </c>
      <c r="Q4" s="41">
        <v>13239.0</v>
      </c>
    </row>
    <row r="5">
      <c r="A5" s="11" t="s">
        <v>446</v>
      </c>
      <c r="B5" s="31">
        <v>2314.0</v>
      </c>
      <c r="P5" s="13" t="s">
        <v>336</v>
      </c>
      <c r="Q5" s="41">
        <v>8850.0</v>
      </c>
    </row>
    <row r="6">
      <c r="A6" s="11" t="s">
        <v>339</v>
      </c>
      <c r="B6" s="31">
        <v>353.0</v>
      </c>
      <c r="P6" s="13" t="s">
        <v>338</v>
      </c>
      <c r="Q6" s="41">
        <v>6623.0</v>
      </c>
    </row>
    <row r="7">
      <c r="A7" s="11" t="s">
        <v>341</v>
      </c>
      <c r="B7" s="31">
        <v>157.0</v>
      </c>
      <c r="P7" s="13" t="s">
        <v>340</v>
      </c>
      <c r="Q7" s="41">
        <v>3165.0</v>
      </c>
    </row>
    <row r="8">
      <c r="P8" s="13" t="s">
        <v>342</v>
      </c>
      <c r="Q8" s="41">
        <v>6411.0</v>
      </c>
    </row>
    <row r="9">
      <c r="P9" s="13" t="s">
        <v>343</v>
      </c>
      <c r="Q9" s="41">
        <v>2825.0</v>
      </c>
    </row>
    <row r="10">
      <c r="P10" s="13" t="s">
        <v>344</v>
      </c>
      <c r="Q10" s="41">
        <v>898.0</v>
      </c>
    </row>
    <row r="11">
      <c r="A11" s="1" t="s">
        <v>330</v>
      </c>
    </row>
    <row r="12">
      <c r="A12" s="44" t="s">
        <v>332</v>
      </c>
      <c r="B12" s="44" t="s">
        <v>333</v>
      </c>
    </row>
    <row r="13">
      <c r="A13" s="11" t="s">
        <v>447</v>
      </c>
      <c r="B13" s="31">
        <v>3359.0</v>
      </c>
      <c r="P13" s="43" t="s">
        <v>346</v>
      </c>
    </row>
    <row r="14">
      <c r="A14" s="11" t="s">
        <v>448</v>
      </c>
      <c r="B14" s="31">
        <v>2596.0</v>
      </c>
      <c r="P14" s="13" t="s">
        <v>348</v>
      </c>
      <c r="Q14" s="41">
        <v>27517.0</v>
      </c>
    </row>
    <row r="15">
      <c r="A15" s="11" t="s">
        <v>339</v>
      </c>
      <c r="B15" s="31">
        <v>516.0</v>
      </c>
      <c r="P15" s="13" t="s">
        <v>349</v>
      </c>
      <c r="Q15" s="41">
        <v>5255.0</v>
      </c>
    </row>
    <row r="16">
      <c r="A16" s="11" t="s">
        <v>341</v>
      </c>
      <c r="B16" s="31">
        <v>148.0</v>
      </c>
      <c r="P16" s="13" t="s">
        <v>351</v>
      </c>
      <c r="Q16" s="41">
        <v>348.0</v>
      </c>
    </row>
    <row r="17">
      <c r="P17" s="13" t="s">
        <v>352</v>
      </c>
      <c r="Q17" s="41">
        <v>111.0</v>
      </c>
    </row>
    <row r="18">
      <c r="P18" s="13" t="s">
        <v>353</v>
      </c>
      <c r="Q18" s="41">
        <v>1297.0</v>
      </c>
    </row>
    <row r="19">
      <c r="P19" s="13" t="s">
        <v>354</v>
      </c>
      <c r="Q19" s="41">
        <v>4252.0</v>
      </c>
    </row>
    <row r="20">
      <c r="A20" s="28" t="s">
        <v>345</v>
      </c>
      <c r="P20" s="13" t="s">
        <v>355</v>
      </c>
      <c r="Q20" s="41">
        <v>4415.0</v>
      </c>
    </row>
    <row r="21">
      <c r="P21" s="13" t="s">
        <v>356</v>
      </c>
      <c r="Q21" s="41">
        <v>625.0</v>
      </c>
    </row>
    <row r="22">
      <c r="A22" s="1" t="s">
        <v>347</v>
      </c>
      <c r="P22" s="13" t="s">
        <v>358</v>
      </c>
      <c r="Q22" s="41">
        <v>309.0</v>
      </c>
    </row>
    <row r="23">
      <c r="A23" s="44" t="s">
        <v>332</v>
      </c>
      <c r="B23" s="44" t="s">
        <v>333</v>
      </c>
      <c r="P23" s="13" t="s">
        <v>359</v>
      </c>
      <c r="Q23" s="41">
        <v>1752.0</v>
      </c>
    </row>
    <row r="24">
      <c r="A24" s="11" t="s">
        <v>446</v>
      </c>
      <c r="B24" s="31">
        <v>2990.0</v>
      </c>
      <c r="P24" s="13" t="s">
        <v>360</v>
      </c>
      <c r="Q24" s="41">
        <v>178.0</v>
      </c>
    </row>
    <row r="25">
      <c r="A25" s="11" t="s">
        <v>449</v>
      </c>
      <c r="B25" s="31">
        <v>1050.0</v>
      </c>
      <c r="P25" s="13" t="s">
        <v>361</v>
      </c>
      <c r="Q25" s="41">
        <v>3492.0</v>
      </c>
    </row>
    <row r="26">
      <c r="A26" s="11" t="s">
        <v>339</v>
      </c>
      <c r="B26" s="31">
        <v>291.0</v>
      </c>
      <c r="P26" s="13" t="s">
        <v>363</v>
      </c>
      <c r="Q26" s="41">
        <v>910.0</v>
      </c>
    </row>
    <row r="27">
      <c r="A27" s="11" t="s">
        <v>341</v>
      </c>
      <c r="B27" s="31">
        <v>203.0</v>
      </c>
      <c r="P27" s="13" t="s">
        <v>364</v>
      </c>
      <c r="Q27" s="41">
        <v>2704.0</v>
      </c>
    </row>
    <row r="28">
      <c r="P28" s="13" t="s">
        <v>365</v>
      </c>
      <c r="Q28" s="41">
        <v>1685.0</v>
      </c>
    </row>
    <row r="29">
      <c r="P29" s="13" t="s">
        <v>366</v>
      </c>
      <c r="Q29" s="41">
        <v>985.0</v>
      </c>
    </row>
    <row r="30">
      <c r="P30" s="13" t="s">
        <v>367</v>
      </c>
      <c r="Q30" s="41">
        <v>645.0</v>
      </c>
    </row>
    <row r="31">
      <c r="A31" s="1" t="s">
        <v>357</v>
      </c>
      <c r="P31" s="13" t="s">
        <v>368</v>
      </c>
      <c r="Q31" s="41">
        <v>3767.0</v>
      </c>
    </row>
    <row r="32">
      <c r="A32" s="44" t="s">
        <v>332</v>
      </c>
      <c r="B32" s="44" t="s">
        <v>333</v>
      </c>
      <c r="P32" s="13" t="s">
        <v>369</v>
      </c>
      <c r="Q32" s="41">
        <v>2021.0</v>
      </c>
    </row>
    <row r="33">
      <c r="A33" s="11" t="s">
        <v>450</v>
      </c>
      <c r="B33" s="31">
        <v>6271.0</v>
      </c>
      <c r="P33" s="13" t="s">
        <v>370</v>
      </c>
      <c r="Q33" s="41">
        <v>68.0</v>
      </c>
    </row>
    <row r="34">
      <c r="A34" s="11" t="s">
        <v>339</v>
      </c>
      <c r="B34" s="31">
        <v>2003.0</v>
      </c>
      <c r="P34" s="13" t="s">
        <v>371</v>
      </c>
      <c r="Q34" s="41">
        <v>98.0</v>
      </c>
    </row>
    <row r="35">
      <c r="A35" s="11" t="s">
        <v>341</v>
      </c>
      <c r="B35" s="31">
        <v>142.0</v>
      </c>
    </row>
    <row r="41">
      <c r="P41" s="43" t="s">
        <v>372</v>
      </c>
    </row>
    <row r="42">
      <c r="P42" s="13" t="s">
        <v>373</v>
      </c>
      <c r="Q42" s="41">
        <v>0.212</v>
      </c>
    </row>
    <row r="43">
      <c r="P43" s="13" t="s">
        <v>374</v>
      </c>
      <c r="Q43" s="41">
        <v>0.316</v>
      </c>
    </row>
    <row r="44">
      <c r="P44" s="13" t="s">
        <v>375</v>
      </c>
      <c r="Q44" s="41">
        <v>0.216</v>
      </c>
    </row>
    <row r="45">
      <c r="P45" s="13" t="s">
        <v>376</v>
      </c>
      <c r="Q45" s="41">
        <v>0.106</v>
      </c>
    </row>
    <row r="46">
      <c r="P46" s="13" t="s">
        <v>377</v>
      </c>
      <c r="Q46" s="41">
        <v>0.151</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0" max="10" width="53.13"/>
    <col customWidth="1" min="11" max="11" width="5.5"/>
    <col customWidth="1" min="13" max="13" width="19.25"/>
    <col customWidth="1" min="14" max="14" width="7.75"/>
    <col customWidth="1" min="16" max="16" width="30.5"/>
    <col customWidth="1" min="17" max="17" width="8.25"/>
  </cols>
  <sheetData>
    <row r="1">
      <c r="A1" s="28" t="s">
        <v>327</v>
      </c>
      <c r="K1" s="42"/>
      <c r="M1" s="43"/>
      <c r="P1" s="43" t="s">
        <v>328</v>
      </c>
    </row>
    <row r="2">
      <c r="P2" s="13" t="s">
        <v>329</v>
      </c>
      <c r="Q2" s="41">
        <v>7063.0</v>
      </c>
    </row>
    <row r="3">
      <c r="A3" s="1" t="s">
        <v>330</v>
      </c>
      <c r="P3" s="13" t="s">
        <v>331</v>
      </c>
      <c r="Q3" s="41">
        <v>9175.0</v>
      </c>
    </row>
    <row r="4">
      <c r="A4" s="44" t="s">
        <v>332</v>
      </c>
      <c r="B4" s="44" t="s">
        <v>333</v>
      </c>
      <c r="P4" s="13" t="s">
        <v>334</v>
      </c>
      <c r="Q4" s="41">
        <v>10127.0</v>
      </c>
    </row>
    <row r="5">
      <c r="A5" s="11" t="s">
        <v>451</v>
      </c>
      <c r="B5" s="31">
        <v>8247.0</v>
      </c>
      <c r="P5" s="13" t="s">
        <v>336</v>
      </c>
      <c r="Q5" s="41">
        <v>7884.0</v>
      </c>
    </row>
    <row r="6">
      <c r="A6" s="11" t="s">
        <v>339</v>
      </c>
      <c r="B6" s="31">
        <v>2426.0</v>
      </c>
      <c r="P6" s="13" t="s">
        <v>338</v>
      </c>
      <c r="Q6" s="41">
        <v>5983.0</v>
      </c>
    </row>
    <row r="7">
      <c r="A7" s="11" t="s">
        <v>341</v>
      </c>
      <c r="B7" s="31">
        <v>126.0</v>
      </c>
      <c r="P7" s="13" t="s">
        <v>340</v>
      </c>
      <c r="Q7" s="41">
        <v>3312.0</v>
      </c>
    </row>
    <row r="8">
      <c r="P8" s="13" t="s">
        <v>342</v>
      </c>
      <c r="Q8" s="41">
        <v>7833.0</v>
      </c>
    </row>
    <row r="9">
      <c r="P9" s="13" t="s">
        <v>343</v>
      </c>
      <c r="Q9" s="41">
        <v>3922.0</v>
      </c>
    </row>
    <row r="10">
      <c r="P10" s="13" t="s">
        <v>344</v>
      </c>
      <c r="Q10" s="41">
        <v>2569.0</v>
      </c>
    </row>
    <row r="11">
      <c r="A11" s="28" t="s">
        <v>345</v>
      </c>
    </row>
    <row r="13">
      <c r="A13" s="1" t="s">
        <v>347</v>
      </c>
      <c r="P13" s="43" t="s">
        <v>346</v>
      </c>
    </row>
    <row r="14">
      <c r="A14" s="44" t="s">
        <v>332</v>
      </c>
      <c r="B14" s="44" t="s">
        <v>333</v>
      </c>
      <c r="P14" s="13" t="s">
        <v>348</v>
      </c>
      <c r="Q14" s="41">
        <v>22076.0</v>
      </c>
    </row>
    <row r="15">
      <c r="A15" s="11" t="s">
        <v>452</v>
      </c>
      <c r="B15" s="31">
        <v>1513.0</v>
      </c>
      <c r="P15" s="13" t="s">
        <v>349</v>
      </c>
      <c r="Q15" s="41">
        <v>951.0</v>
      </c>
    </row>
    <row r="16">
      <c r="A16" s="11" t="s">
        <v>453</v>
      </c>
      <c r="B16" s="31">
        <v>1474.0</v>
      </c>
      <c r="P16" s="13" t="s">
        <v>351</v>
      </c>
      <c r="Q16" s="41">
        <v>303.0</v>
      </c>
    </row>
    <row r="17">
      <c r="A17" s="11" t="s">
        <v>339</v>
      </c>
      <c r="B17" s="31">
        <v>800.0</v>
      </c>
      <c r="P17" s="13" t="s">
        <v>352</v>
      </c>
      <c r="Q17" s="41">
        <v>117.0</v>
      </c>
    </row>
    <row r="18">
      <c r="A18" s="11" t="s">
        <v>341</v>
      </c>
      <c r="B18" s="31">
        <v>128.0</v>
      </c>
      <c r="P18" s="13" t="s">
        <v>353</v>
      </c>
      <c r="Q18" s="41">
        <v>1551.0</v>
      </c>
    </row>
    <row r="19">
      <c r="P19" s="13" t="s">
        <v>354</v>
      </c>
      <c r="Q19" s="41">
        <v>3088.0</v>
      </c>
    </row>
    <row r="20">
      <c r="P20" s="13" t="s">
        <v>355</v>
      </c>
      <c r="Q20" s="41">
        <v>9727.0</v>
      </c>
    </row>
    <row r="21">
      <c r="P21" s="13" t="s">
        <v>356</v>
      </c>
      <c r="Q21" s="41">
        <v>402.0</v>
      </c>
    </row>
    <row r="22">
      <c r="A22" s="1" t="s">
        <v>357</v>
      </c>
      <c r="P22" s="13" t="s">
        <v>358</v>
      </c>
      <c r="Q22" s="41">
        <v>248.0</v>
      </c>
    </row>
    <row r="23">
      <c r="A23" s="44" t="s">
        <v>332</v>
      </c>
      <c r="B23" s="44" t="s">
        <v>333</v>
      </c>
      <c r="P23" s="13" t="s">
        <v>359</v>
      </c>
      <c r="Q23" s="41">
        <v>2988.0</v>
      </c>
    </row>
    <row r="24">
      <c r="A24" s="11" t="s">
        <v>454</v>
      </c>
      <c r="B24" s="31">
        <v>9645.0</v>
      </c>
      <c r="P24" s="13" t="s">
        <v>360</v>
      </c>
      <c r="Q24" s="41">
        <v>72.0</v>
      </c>
    </row>
    <row r="25">
      <c r="A25" s="11" t="s">
        <v>339</v>
      </c>
      <c r="B25" s="31">
        <v>3461.0</v>
      </c>
      <c r="P25" s="13" t="s">
        <v>361</v>
      </c>
      <c r="Q25" s="41">
        <v>3185.0</v>
      </c>
    </row>
    <row r="26">
      <c r="A26" s="11" t="s">
        <v>341</v>
      </c>
      <c r="B26" s="31">
        <v>137.0</v>
      </c>
      <c r="P26" s="13" t="s">
        <v>363</v>
      </c>
      <c r="Q26" s="41">
        <v>229.0</v>
      </c>
    </row>
    <row r="27">
      <c r="P27" s="13" t="s">
        <v>364</v>
      </c>
      <c r="Q27" s="41">
        <v>624.0</v>
      </c>
    </row>
    <row r="28">
      <c r="P28" s="13" t="s">
        <v>365</v>
      </c>
      <c r="Q28" s="41">
        <v>1282.0</v>
      </c>
    </row>
    <row r="29">
      <c r="P29" s="13" t="s">
        <v>366</v>
      </c>
      <c r="Q29" s="41">
        <v>328.0</v>
      </c>
    </row>
    <row r="30">
      <c r="P30" s="13" t="s">
        <v>367</v>
      </c>
      <c r="Q30" s="41">
        <v>506.0</v>
      </c>
    </row>
    <row r="31">
      <c r="P31" s="13" t="s">
        <v>368</v>
      </c>
      <c r="Q31" s="41">
        <v>4392.0</v>
      </c>
    </row>
    <row r="32">
      <c r="P32" s="13" t="s">
        <v>369</v>
      </c>
      <c r="Q32" s="41">
        <v>1117.0</v>
      </c>
    </row>
    <row r="33">
      <c r="P33" s="13" t="s">
        <v>370</v>
      </c>
      <c r="Q33" s="41">
        <v>2.0</v>
      </c>
    </row>
    <row r="34">
      <c r="P34" s="13" t="s">
        <v>371</v>
      </c>
      <c r="Q34" s="41">
        <v>0.0</v>
      </c>
    </row>
    <row r="41">
      <c r="P41" s="43" t="s">
        <v>372</v>
      </c>
    </row>
    <row r="42">
      <c r="P42" s="13" t="s">
        <v>373</v>
      </c>
      <c r="Q42" s="41">
        <v>0.176</v>
      </c>
    </row>
    <row r="43">
      <c r="P43" s="13" t="s">
        <v>374</v>
      </c>
      <c r="Q43" s="41">
        <v>0.235</v>
      </c>
    </row>
    <row r="44">
      <c r="P44" s="13" t="s">
        <v>375</v>
      </c>
      <c r="Q44" s="41">
        <v>0.201</v>
      </c>
    </row>
    <row r="45">
      <c r="P45" s="13" t="s">
        <v>376</v>
      </c>
      <c r="Q45" s="41">
        <v>0.129</v>
      </c>
    </row>
    <row r="46">
      <c r="P46" s="13" t="s">
        <v>377</v>
      </c>
      <c r="Q46" s="41">
        <v>0.258</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13"/>
    <col customWidth="1" min="10" max="10" width="53.13"/>
    <col customWidth="1" min="11" max="11" width="5.5"/>
    <col customWidth="1" min="13" max="13" width="19.25"/>
    <col customWidth="1" min="14" max="14" width="8.63"/>
    <col customWidth="1" min="16" max="16" width="30.5"/>
    <col customWidth="1" min="17" max="17" width="9.13"/>
  </cols>
  <sheetData>
    <row r="1">
      <c r="A1" s="43" t="s">
        <v>327</v>
      </c>
      <c r="M1" s="43"/>
      <c r="P1" s="43"/>
      <c r="Q1" s="43" t="s">
        <v>328</v>
      </c>
    </row>
    <row r="2">
      <c r="A2" s="45" t="s">
        <v>378</v>
      </c>
      <c r="Q2" s="13" t="s">
        <v>329</v>
      </c>
      <c r="R2" s="41">
        <v>6961.0</v>
      </c>
    </row>
    <row r="3">
      <c r="Q3" s="13" t="s">
        <v>331</v>
      </c>
      <c r="R3" s="41">
        <v>5907.0</v>
      </c>
    </row>
    <row r="4">
      <c r="Q4" s="13" t="s">
        <v>334</v>
      </c>
      <c r="R4" s="41">
        <v>5170.0</v>
      </c>
    </row>
    <row r="5">
      <c r="Q5" s="13" t="s">
        <v>336</v>
      </c>
      <c r="R5" s="41">
        <v>7250.0</v>
      </c>
    </row>
    <row r="6">
      <c r="Q6" s="13" t="s">
        <v>338</v>
      </c>
      <c r="R6" s="41">
        <v>7447.0</v>
      </c>
    </row>
    <row r="7">
      <c r="Q7" s="13" t="s">
        <v>340</v>
      </c>
      <c r="R7" s="41">
        <v>3779.0</v>
      </c>
    </row>
    <row r="8">
      <c r="Q8" s="13" t="s">
        <v>342</v>
      </c>
      <c r="R8" s="41">
        <v>7105.0</v>
      </c>
    </row>
    <row r="9">
      <c r="Q9" s="13" t="s">
        <v>343</v>
      </c>
      <c r="R9" s="41">
        <v>4175.0</v>
      </c>
    </row>
    <row r="10">
      <c r="Q10" s="13" t="s">
        <v>344</v>
      </c>
      <c r="R10" s="41">
        <v>2254.0</v>
      </c>
    </row>
    <row r="13">
      <c r="Q13" s="43" t="s">
        <v>346</v>
      </c>
    </row>
    <row r="14">
      <c r="Q14" s="13" t="s">
        <v>348</v>
      </c>
      <c r="R14" s="41">
        <v>15802.0</v>
      </c>
    </row>
    <row r="15">
      <c r="Q15" s="13" t="s">
        <v>349</v>
      </c>
      <c r="R15" s="41">
        <v>168.0</v>
      </c>
    </row>
    <row r="16">
      <c r="Q16" s="13" t="s">
        <v>351</v>
      </c>
      <c r="R16" s="41">
        <v>94.0</v>
      </c>
    </row>
    <row r="17">
      <c r="Q17" s="13" t="s">
        <v>352</v>
      </c>
      <c r="R17" s="41">
        <v>58.0</v>
      </c>
    </row>
    <row r="18">
      <c r="Q18" s="13" t="s">
        <v>353</v>
      </c>
      <c r="R18" s="41">
        <v>2458.0</v>
      </c>
    </row>
    <row r="19">
      <c r="Q19" s="13" t="s">
        <v>354</v>
      </c>
      <c r="R19" s="41">
        <v>2089.0</v>
      </c>
    </row>
    <row r="20">
      <c r="A20" s="43" t="s">
        <v>345</v>
      </c>
      <c r="Q20" s="13" t="s">
        <v>355</v>
      </c>
      <c r="R20" s="41">
        <v>8212.0</v>
      </c>
    </row>
    <row r="21">
      <c r="A21" s="1" t="s">
        <v>399</v>
      </c>
      <c r="B21" s="1" t="s">
        <v>400</v>
      </c>
      <c r="Q21" s="13" t="s">
        <v>356</v>
      </c>
      <c r="R21" s="41">
        <v>626.0</v>
      </c>
    </row>
    <row r="22">
      <c r="A22" s="13" t="s">
        <v>455</v>
      </c>
      <c r="B22" s="41">
        <v>2954.0</v>
      </c>
      <c r="Q22" s="13" t="s">
        <v>358</v>
      </c>
      <c r="R22" s="41">
        <v>264.0</v>
      </c>
    </row>
    <row r="23">
      <c r="A23" s="13" t="s">
        <v>456</v>
      </c>
      <c r="B23" s="41">
        <v>10621.0</v>
      </c>
      <c r="Q23" s="13" t="s">
        <v>359</v>
      </c>
      <c r="R23" s="41">
        <v>2378.0</v>
      </c>
    </row>
    <row r="24">
      <c r="A24" s="13" t="s">
        <v>341</v>
      </c>
      <c r="B24" s="41">
        <v>88.0</v>
      </c>
      <c r="Q24" s="13" t="s">
        <v>360</v>
      </c>
      <c r="R24" s="41">
        <v>0.0</v>
      </c>
    </row>
    <row r="25">
      <c r="A25" s="13" t="s">
        <v>339</v>
      </c>
      <c r="B25" s="41">
        <v>1331.0</v>
      </c>
      <c r="Q25" s="13" t="s">
        <v>361</v>
      </c>
      <c r="R25" s="41">
        <v>4713.0</v>
      </c>
    </row>
    <row r="26">
      <c r="Q26" s="13" t="s">
        <v>363</v>
      </c>
      <c r="R26" s="41">
        <v>125.0</v>
      </c>
    </row>
    <row r="27">
      <c r="Q27" s="13" t="s">
        <v>364</v>
      </c>
      <c r="R27" s="41">
        <v>221.0</v>
      </c>
    </row>
    <row r="28">
      <c r="Q28" s="13" t="s">
        <v>365</v>
      </c>
      <c r="R28" s="41">
        <v>773.0</v>
      </c>
    </row>
    <row r="29">
      <c r="Q29" s="13" t="s">
        <v>366</v>
      </c>
      <c r="R29" s="41">
        <v>287.0</v>
      </c>
    </row>
    <row r="30">
      <c r="Q30" s="13" t="s">
        <v>367</v>
      </c>
      <c r="R30" s="41">
        <v>224.0</v>
      </c>
    </row>
    <row r="31">
      <c r="Q31" s="13" t="s">
        <v>368</v>
      </c>
      <c r="R31" s="41">
        <v>4253.0</v>
      </c>
    </row>
    <row r="32">
      <c r="Q32" s="13" t="s">
        <v>369</v>
      </c>
      <c r="R32" s="41">
        <v>827.0</v>
      </c>
    </row>
    <row r="33">
      <c r="Q33" s="13" t="s">
        <v>370</v>
      </c>
      <c r="R33" s="41">
        <v>0.0</v>
      </c>
    </row>
    <row r="34">
      <c r="Q34" s="13" t="s">
        <v>371</v>
      </c>
      <c r="R34" s="41">
        <v>0.0</v>
      </c>
    </row>
    <row r="41">
      <c r="Q41" s="43" t="s">
        <v>372</v>
      </c>
    </row>
    <row r="42">
      <c r="Q42" s="13" t="s">
        <v>373</v>
      </c>
      <c r="R42" s="41">
        <v>0.129</v>
      </c>
    </row>
    <row r="43">
      <c r="Q43" s="13" t="s">
        <v>374</v>
      </c>
      <c r="R43" s="41">
        <v>0.164</v>
      </c>
    </row>
    <row r="44">
      <c r="Q44" s="13" t="s">
        <v>375</v>
      </c>
      <c r="R44" s="41">
        <v>0.196</v>
      </c>
    </row>
    <row r="45">
      <c r="Q45" s="13" t="s">
        <v>376</v>
      </c>
      <c r="R45" s="41">
        <v>0.179</v>
      </c>
    </row>
    <row r="46">
      <c r="Q46" s="13" t="s">
        <v>377</v>
      </c>
      <c r="R46" s="41">
        <v>0.333</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1" max="11" width="74.0"/>
    <col customWidth="1" min="13" max="13" width="8.0"/>
    <col customWidth="1" min="14" max="14" width="46.88"/>
  </cols>
  <sheetData>
    <row r="1">
      <c r="A1" s="28" t="s">
        <v>327</v>
      </c>
      <c r="L1" s="1" t="s">
        <v>457</v>
      </c>
      <c r="N1" s="28" t="s">
        <v>458</v>
      </c>
    </row>
    <row r="2">
      <c r="L2" s="41">
        <v>3733.7999999999997</v>
      </c>
      <c r="N2" s="1" t="s">
        <v>459</v>
      </c>
    </row>
    <row r="3">
      <c r="A3" s="1" t="s">
        <v>330</v>
      </c>
    </row>
    <row r="4">
      <c r="A4" s="44" t="s">
        <v>332</v>
      </c>
      <c r="B4" s="44" t="s">
        <v>333</v>
      </c>
      <c r="N4" s="13" t="s">
        <v>460</v>
      </c>
      <c r="O4" s="41">
        <v>264.7999999999997</v>
      </c>
    </row>
    <row r="5">
      <c r="A5" s="11" t="s">
        <v>461</v>
      </c>
      <c r="B5" s="31">
        <v>3858.0</v>
      </c>
      <c r="N5" s="13" t="s">
        <v>462</v>
      </c>
      <c r="O5" s="41">
        <v>1808.7999999999997</v>
      </c>
    </row>
    <row r="6">
      <c r="A6" s="11" t="s">
        <v>339</v>
      </c>
      <c r="B6" s="31">
        <v>2173.0</v>
      </c>
      <c r="N6" s="13" t="s">
        <v>463</v>
      </c>
      <c r="O6" s="41">
        <v>-11978.065000000002</v>
      </c>
    </row>
    <row r="7">
      <c r="A7" s="11" t="s">
        <v>341</v>
      </c>
      <c r="B7" s="31">
        <v>99.0</v>
      </c>
    </row>
    <row r="10">
      <c r="N10" s="43" t="s">
        <v>328</v>
      </c>
    </row>
    <row r="11">
      <c r="A11" s="28" t="s">
        <v>345</v>
      </c>
      <c r="N11" s="13" t="s">
        <v>329</v>
      </c>
      <c r="O11" s="41">
        <v>3509.0</v>
      </c>
    </row>
    <row r="12">
      <c r="N12" s="13" t="s">
        <v>331</v>
      </c>
      <c r="O12" s="41">
        <v>2685.0</v>
      </c>
    </row>
    <row r="13">
      <c r="A13" s="1" t="s">
        <v>357</v>
      </c>
      <c r="N13" s="13" t="s">
        <v>334</v>
      </c>
      <c r="O13" s="41">
        <v>2811.0</v>
      </c>
    </row>
    <row r="14">
      <c r="A14" s="44" t="s">
        <v>332</v>
      </c>
      <c r="B14" s="44" t="s">
        <v>333</v>
      </c>
      <c r="N14" s="13" t="s">
        <v>336</v>
      </c>
      <c r="O14" s="41">
        <v>3621.0</v>
      </c>
    </row>
    <row r="15">
      <c r="A15" s="11" t="s">
        <v>461</v>
      </c>
      <c r="B15" s="31">
        <v>4943.0</v>
      </c>
      <c r="N15" s="13" t="s">
        <v>338</v>
      </c>
      <c r="O15" s="41">
        <v>2536.0</v>
      </c>
    </row>
    <row r="16">
      <c r="A16" s="11" t="s">
        <v>339</v>
      </c>
      <c r="B16" s="31">
        <v>1296.0</v>
      </c>
      <c r="N16" s="13" t="s">
        <v>340</v>
      </c>
      <c r="O16" s="41">
        <v>3515.0</v>
      </c>
    </row>
    <row r="17">
      <c r="A17" s="11" t="s">
        <v>341</v>
      </c>
      <c r="B17" s="31">
        <v>77.0</v>
      </c>
      <c r="N17" s="13" t="s">
        <v>342</v>
      </c>
      <c r="O17" s="41">
        <v>3387.0</v>
      </c>
    </row>
    <row r="18">
      <c r="N18" s="13" t="s">
        <v>343</v>
      </c>
      <c r="O18" s="41">
        <v>1604.0</v>
      </c>
    </row>
    <row r="19">
      <c r="N19" s="13" t="s">
        <v>464</v>
      </c>
      <c r="O19" s="41">
        <v>658.0</v>
      </c>
    </row>
    <row r="22">
      <c r="N22" s="43" t="s">
        <v>346</v>
      </c>
    </row>
    <row r="23">
      <c r="N23" s="13" t="s">
        <v>348</v>
      </c>
      <c r="O23" s="41">
        <v>6608.0</v>
      </c>
    </row>
    <row r="24">
      <c r="N24" s="13" t="s">
        <v>349</v>
      </c>
      <c r="O24" s="41">
        <v>143.0</v>
      </c>
    </row>
    <row r="25">
      <c r="N25" s="13" t="s">
        <v>351</v>
      </c>
      <c r="O25" s="41">
        <v>41.0</v>
      </c>
    </row>
    <row r="26">
      <c r="N26" s="13" t="s">
        <v>352</v>
      </c>
      <c r="O26" s="41">
        <v>30.0</v>
      </c>
    </row>
    <row r="27">
      <c r="N27" s="13" t="s">
        <v>353</v>
      </c>
      <c r="O27" s="41">
        <v>474.0</v>
      </c>
    </row>
    <row r="28">
      <c r="N28" s="13" t="s">
        <v>354</v>
      </c>
      <c r="O28" s="41">
        <v>2685.0</v>
      </c>
    </row>
    <row r="29">
      <c r="N29" s="13" t="s">
        <v>355</v>
      </c>
      <c r="O29" s="41">
        <v>2081.0</v>
      </c>
    </row>
    <row r="30">
      <c r="N30" s="13" t="s">
        <v>356</v>
      </c>
      <c r="O30" s="41">
        <v>53.0</v>
      </c>
    </row>
    <row r="31">
      <c r="N31" s="13" t="s">
        <v>358</v>
      </c>
      <c r="O31" s="41">
        <v>106.0</v>
      </c>
    </row>
    <row r="32">
      <c r="N32" s="13" t="s">
        <v>359</v>
      </c>
      <c r="O32" s="41">
        <v>512.0</v>
      </c>
    </row>
    <row r="33">
      <c r="N33" s="13" t="s">
        <v>360</v>
      </c>
      <c r="O33" s="41">
        <v>0.0</v>
      </c>
    </row>
    <row r="34">
      <c r="N34" s="13" t="s">
        <v>361</v>
      </c>
      <c r="O34" s="41">
        <v>1925.0</v>
      </c>
    </row>
    <row r="35">
      <c r="N35" s="13" t="s">
        <v>363</v>
      </c>
      <c r="O35" s="41">
        <v>83.0</v>
      </c>
    </row>
    <row r="36">
      <c r="N36" s="13" t="s">
        <v>364</v>
      </c>
      <c r="O36" s="41">
        <v>738.0</v>
      </c>
    </row>
    <row r="37">
      <c r="N37" s="13" t="s">
        <v>365</v>
      </c>
      <c r="O37" s="41">
        <v>436.0</v>
      </c>
    </row>
    <row r="38">
      <c r="N38" s="13" t="s">
        <v>366</v>
      </c>
      <c r="O38" s="41">
        <v>166.0</v>
      </c>
    </row>
    <row r="39">
      <c r="N39" s="13" t="s">
        <v>367</v>
      </c>
      <c r="O39" s="41">
        <v>387.0</v>
      </c>
    </row>
    <row r="40">
      <c r="N40" s="13" t="s">
        <v>368</v>
      </c>
      <c r="O40" s="41">
        <v>1527.0</v>
      </c>
    </row>
    <row r="41">
      <c r="N41" s="13" t="s">
        <v>369</v>
      </c>
      <c r="O41" s="41">
        <v>339.0</v>
      </c>
    </row>
    <row r="42">
      <c r="N42" s="13" t="s">
        <v>370</v>
      </c>
      <c r="O42" s="41">
        <v>5.0</v>
      </c>
    </row>
    <row r="45">
      <c r="N45" s="43" t="s">
        <v>372</v>
      </c>
    </row>
    <row r="46">
      <c r="N46" s="13" t="s">
        <v>373</v>
      </c>
      <c r="O46" s="41">
        <v>0.29600000000000004</v>
      </c>
    </row>
    <row r="47">
      <c r="N47" s="13" t="s">
        <v>465</v>
      </c>
      <c r="O47" s="41">
        <v>0.315</v>
      </c>
    </row>
    <row r="48">
      <c r="N48" s="13" t="s">
        <v>466</v>
      </c>
      <c r="O48" s="41">
        <v>0.188</v>
      </c>
    </row>
    <row r="49">
      <c r="N49" s="13" t="s">
        <v>467</v>
      </c>
      <c r="O49" s="41">
        <v>0.086</v>
      </c>
    </row>
    <row r="50">
      <c r="N50" s="13" t="s">
        <v>377</v>
      </c>
      <c r="O50" s="41">
        <v>0.116</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5.13"/>
    <col customWidth="1" min="13" max="13" width="53.13"/>
    <col customWidth="1" min="14" max="14" width="9.13"/>
  </cols>
  <sheetData>
    <row r="1">
      <c r="A1" s="28" t="s">
        <v>327</v>
      </c>
      <c r="N1" s="1" t="s">
        <v>457</v>
      </c>
      <c r="P1" s="28" t="s">
        <v>458</v>
      </c>
    </row>
    <row r="2">
      <c r="N2" s="41">
        <v>4427.4</v>
      </c>
      <c r="P2" s="1" t="s">
        <v>468</v>
      </c>
    </row>
    <row r="3">
      <c r="A3" s="1" t="s">
        <v>330</v>
      </c>
    </row>
    <row r="4">
      <c r="A4" s="44" t="s">
        <v>332</v>
      </c>
      <c r="B4" s="44" t="s">
        <v>333</v>
      </c>
      <c r="P4" s="13" t="s">
        <v>460</v>
      </c>
      <c r="Q4" s="41">
        <v>59.399999999999636</v>
      </c>
    </row>
    <row r="5">
      <c r="A5" s="11" t="s">
        <v>469</v>
      </c>
      <c r="B5" s="31">
        <v>4403.0</v>
      </c>
      <c r="P5" s="13" t="s">
        <v>462</v>
      </c>
      <c r="Q5" s="41">
        <v>2443.3999999999996</v>
      </c>
    </row>
    <row r="6">
      <c r="A6" s="11" t="s">
        <v>470</v>
      </c>
      <c r="B6" s="31">
        <v>1803.0</v>
      </c>
      <c r="P6" s="13" t="s">
        <v>463</v>
      </c>
      <c r="Q6" s="41">
        <v>-10512.815</v>
      </c>
    </row>
    <row r="7">
      <c r="A7" s="11" t="s">
        <v>339</v>
      </c>
      <c r="B7" s="31">
        <v>933.0</v>
      </c>
    </row>
    <row r="8">
      <c r="A8" s="11" t="s">
        <v>341</v>
      </c>
      <c r="B8" s="31">
        <v>138.0</v>
      </c>
    </row>
    <row r="10">
      <c r="P10" s="43" t="s">
        <v>328</v>
      </c>
    </row>
    <row r="11">
      <c r="P11" s="13" t="s">
        <v>329</v>
      </c>
      <c r="Q11" s="41">
        <v>3173.0</v>
      </c>
    </row>
    <row r="12">
      <c r="A12" s="28" t="s">
        <v>345</v>
      </c>
      <c r="P12" s="13" t="s">
        <v>331</v>
      </c>
      <c r="Q12" s="41">
        <v>3211.0</v>
      </c>
    </row>
    <row r="13">
      <c r="P13" s="13" t="s">
        <v>334</v>
      </c>
      <c r="Q13" s="41">
        <v>3446.0</v>
      </c>
    </row>
    <row r="14">
      <c r="A14" s="1" t="s">
        <v>357</v>
      </c>
      <c r="P14" s="13" t="s">
        <v>336</v>
      </c>
      <c r="Q14" s="41">
        <v>3208.0</v>
      </c>
    </row>
    <row r="15">
      <c r="A15" s="44" t="s">
        <v>332</v>
      </c>
      <c r="B15" s="44" t="s">
        <v>333</v>
      </c>
      <c r="P15" s="13" t="s">
        <v>338</v>
      </c>
      <c r="Q15" s="41">
        <v>2935.0</v>
      </c>
    </row>
    <row r="16">
      <c r="A16" s="11" t="s">
        <v>471</v>
      </c>
      <c r="B16" s="31">
        <v>5973.0</v>
      </c>
      <c r="P16" s="13" t="s">
        <v>340</v>
      </c>
      <c r="Q16" s="41">
        <v>3418.0</v>
      </c>
    </row>
    <row r="17">
      <c r="A17" s="11" t="s">
        <v>339</v>
      </c>
      <c r="B17" s="31">
        <v>1435.0</v>
      </c>
      <c r="P17" s="13" t="s">
        <v>342</v>
      </c>
      <c r="Q17" s="41">
        <v>3151.0</v>
      </c>
    </row>
    <row r="18">
      <c r="A18" s="11" t="s">
        <v>341</v>
      </c>
      <c r="B18" s="31">
        <v>73.0</v>
      </c>
      <c r="P18" s="13" t="s">
        <v>343</v>
      </c>
      <c r="Q18" s="41">
        <v>1899.0</v>
      </c>
    </row>
    <row r="19">
      <c r="P19" s="13" t="s">
        <v>464</v>
      </c>
      <c r="Q19" s="41">
        <v>867.0</v>
      </c>
    </row>
    <row r="22">
      <c r="P22" s="43" t="s">
        <v>346</v>
      </c>
    </row>
    <row r="23">
      <c r="P23" s="13" t="s">
        <v>348</v>
      </c>
      <c r="Q23" s="41">
        <v>3688.0</v>
      </c>
    </row>
    <row r="24">
      <c r="P24" s="13" t="s">
        <v>349</v>
      </c>
      <c r="Q24" s="41">
        <v>318.0</v>
      </c>
    </row>
    <row r="25">
      <c r="P25" s="13" t="s">
        <v>351</v>
      </c>
      <c r="Q25" s="41">
        <v>24.0</v>
      </c>
    </row>
    <row r="26">
      <c r="P26" s="13" t="s">
        <v>352</v>
      </c>
      <c r="Q26" s="41">
        <v>69.0</v>
      </c>
    </row>
    <row r="27">
      <c r="P27" s="13" t="s">
        <v>353</v>
      </c>
      <c r="Q27" s="41">
        <v>1081.0</v>
      </c>
    </row>
    <row r="28">
      <c r="P28" s="13" t="s">
        <v>354</v>
      </c>
      <c r="Q28" s="41">
        <v>1698.0</v>
      </c>
    </row>
    <row r="29">
      <c r="P29" s="13" t="s">
        <v>355</v>
      </c>
      <c r="Q29" s="41">
        <v>6647.0</v>
      </c>
    </row>
    <row r="30">
      <c r="P30" s="13" t="s">
        <v>356</v>
      </c>
      <c r="Q30" s="41">
        <v>281.0</v>
      </c>
    </row>
    <row r="31">
      <c r="P31" s="13" t="s">
        <v>358</v>
      </c>
      <c r="Q31" s="41">
        <v>10.0</v>
      </c>
    </row>
    <row r="32">
      <c r="P32" s="13" t="s">
        <v>359</v>
      </c>
      <c r="Q32" s="41">
        <v>839.0</v>
      </c>
    </row>
    <row r="33">
      <c r="P33" s="13" t="s">
        <v>360</v>
      </c>
      <c r="Q33" s="41">
        <v>0.0</v>
      </c>
    </row>
    <row r="34">
      <c r="P34" s="13" t="s">
        <v>361</v>
      </c>
      <c r="Q34" s="41">
        <v>1984.0</v>
      </c>
    </row>
    <row r="35">
      <c r="P35" s="13" t="s">
        <v>363</v>
      </c>
      <c r="Q35" s="41">
        <v>4.0</v>
      </c>
    </row>
    <row r="36">
      <c r="P36" s="13" t="s">
        <v>364</v>
      </c>
      <c r="Q36" s="41">
        <v>737.0</v>
      </c>
    </row>
    <row r="37">
      <c r="P37" s="13" t="s">
        <v>365</v>
      </c>
      <c r="Q37" s="41">
        <v>324.0</v>
      </c>
    </row>
    <row r="38">
      <c r="P38" s="13" t="s">
        <v>366</v>
      </c>
      <c r="Q38" s="41">
        <v>6.0</v>
      </c>
    </row>
    <row r="39">
      <c r="P39" s="13" t="s">
        <v>367</v>
      </c>
      <c r="Q39" s="41">
        <v>224.0</v>
      </c>
    </row>
    <row r="40">
      <c r="P40" s="13" t="s">
        <v>368</v>
      </c>
      <c r="Q40" s="41">
        <v>1363.0</v>
      </c>
    </row>
    <row r="41">
      <c r="P41" s="13" t="s">
        <v>369</v>
      </c>
      <c r="Q41" s="41">
        <v>238.0</v>
      </c>
    </row>
    <row r="42">
      <c r="P42" s="13" t="s">
        <v>370</v>
      </c>
      <c r="Q42" s="41">
        <v>0.0</v>
      </c>
    </row>
    <row r="45">
      <c r="P45" s="43" t="s">
        <v>372</v>
      </c>
    </row>
    <row r="46">
      <c r="P46" s="13" t="s">
        <v>373</v>
      </c>
      <c r="Q46" s="41">
        <v>0.34400000000000003</v>
      </c>
    </row>
    <row r="47">
      <c r="P47" s="13" t="s">
        <v>465</v>
      </c>
      <c r="Q47" s="41">
        <v>0.22699999999999998</v>
      </c>
    </row>
    <row r="48">
      <c r="P48" s="13" t="s">
        <v>466</v>
      </c>
      <c r="Q48" s="41">
        <v>0.194</v>
      </c>
    </row>
    <row r="49">
      <c r="P49" s="13" t="s">
        <v>467</v>
      </c>
      <c r="Q49" s="41">
        <v>0.112</v>
      </c>
    </row>
    <row r="50">
      <c r="P50" s="13" t="s">
        <v>377</v>
      </c>
      <c r="Q50" s="41">
        <v>0.123</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5.13"/>
    <col customWidth="1" min="13" max="13" width="53.13"/>
    <col customWidth="1" min="14" max="14" width="8.25"/>
  </cols>
  <sheetData>
    <row r="1">
      <c r="A1" s="28" t="s">
        <v>327</v>
      </c>
      <c r="N1" s="1" t="s">
        <v>457</v>
      </c>
      <c r="P1" s="28" t="s">
        <v>458</v>
      </c>
    </row>
    <row r="2">
      <c r="N2" s="41">
        <v>2790.6</v>
      </c>
      <c r="P2" s="1" t="s">
        <v>472</v>
      </c>
    </row>
    <row r="3">
      <c r="A3" s="1" t="s">
        <v>380</v>
      </c>
    </row>
    <row r="4">
      <c r="A4" s="44" t="s">
        <v>332</v>
      </c>
      <c r="B4" s="44" t="s">
        <v>333</v>
      </c>
      <c r="J4" s="17">
        <f>sum(B13:B16)+sum(B40:B43)</f>
        <v>9302</v>
      </c>
      <c r="P4" s="13" t="s">
        <v>460</v>
      </c>
      <c r="Q4" s="41">
        <v>-866.4000000000001</v>
      </c>
    </row>
    <row r="5">
      <c r="A5" s="11" t="s">
        <v>473</v>
      </c>
      <c r="B5" s="31">
        <v>818.0</v>
      </c>
      <c r="J5" s="17">
        <f t="shared" ref="J5:J6" si="1">J4/2</f>
        <v>4651</v>
      </c>
      <c r="P5" s="13" t="s">
        <v>462</v>
      </c>
      <c r="Q5" s="41">
        <v>-1758.4</v>
      </c>
    </row>
    <row r="6">
      <c r="A6" s="11" t="s">
        <v>339</v>
      </c>
      <c r="B6" s="31">
        <v>370.0</v>
      </c>
      <c r="J6" s="17">
        <f t="shared" si="1"/>
        <v>2325.5</v>
      </c>
      <c r="P6" s="13" t="s">
        <v>463</v>
      </c>
      <c r="Q6" s="41">
        <v>-15702.679999999998</v>
      </c>
    </row>
    <row r="7">
      <c r="A7" s="11" t="s">
        <v>341</v>
      </c>
      <c r="B7" s="31">
        <v>106.0</v>
      </c>
      <c r="J7" s="17">
        <f>J6+0.2*(J6)</f>
        <v>2790.6</v>
      </c>
    </row>
    <row r="9">
      <c r="J9" s="17">
        <f>J5*0.57</f>
        <v>2651.07</v>
      </c>
    </row>
    <row r="10">
      <c r="J10" s="13" t="s">
        <v>474</v>
      </c>
      <c r="P10" s="43" t="s">
        <v>328</v>
      </c>
    </row>
    <row r="11">
      <c r="A11" s="1" t="s">
        <v>330</v>
      </c>
      <c r="P11" s="13" t="s">
        <v>329</v>
      </c>
      <c r="Q11" s="41">
        <v>3678.0</v>
      </c>
    </row>
    <row r="12">
      <c r="A12" s="44" t="s">
        <v>332</v>
      </c>
      <c r="B12" s="44" t="s">
        <v>333</v>
      </c>
      <c r="P12" s="13" t="s">
        <v>331</v>
      </c>
      <c r="Q12" s="41">
        <v>3324.0</v>
      </c>
    </row>
    <row r="13">
      <c r="A13" s="11" t="s">
        <v>475</v>
      </c>
      <c r="B13" s="31">
        <v>2221.0</v>
      </c>
      <c r="P13" s="13" t="s">
        <v>334</v>
      </c>
      <c r="Q13" s="41">
        <v>2822.0</v>
      </c>
    </row>
    <row r="14">
      <c r="A14" s="11" t="s">
        <v>476</v>
      </c>
      <c r="B14" s="31">
        <v>1786.0</v>
      </c>
      <c r="P14" s="13" t="s">
        <v>336</v>
      </c>
      <c r="Q14" s="41">
        <v>2905.0</v>
      </c>
    </row>
    <row r="15">
      <c r="A15" s="11" t="s">
        <v>339</v>
      </c>
      <c r="B15" s="31">
        <v>477.0</v>
      </c>
      <c r="P15" s="13" t="s">
        <v>338</v>
      </c>
      <c r="Q15" s="41">
        <v>2973.0</v>
      </c>
    </row>
    <row r="16">
      <c r="A16" s="11" t="s">
        <v>341</v>
      </c>
      <c r="B16" s="31">
        <v>162.0</v>
      </c>
      <c r="P16" s="13" t="s">
        <v>340</v>
      </c>
      <c r="Q16" s="41">
        <v>4635.0</v>
      </c>
    </row>
    <row r="17">
      <c r="P17" s="13" t="s">
        <v>342</v>
      </c>
      <c r="Q17" s="41">
        <v>3442.0</v>
      </c>
    </row>
    <row r="18">
      <c r="P18" s="13" t="s">
        <v>343</v>
      </c>
      <c r="Q18" s="41">
        <v>1360.0</v>
      </c>
    </row>
    <row r="19">
      <c r="P19" s="13" t="s">
        <v>464</v>
      </c>
      <c r="Q19" s="41">
        <v>845.0</v>
      </c>
    </row>
    <row r="20">
      <c r="A20" s="1" t="s">
        <v>477</v>
      </c>
    </row>
    <row r="21">
      <c r="A21" s="44" t="s">
        <v>332</v>
      </c>
      <c r="B21" s="44" t="s">
        <v>333</v>
      </c>
    </row>
    <row r="22">
      <c r="A22" s="11" t="s">
        <v>478</v>
      </c>
      <c r="B22" s="31">
        <v>14.0</v>
      </c>
      <c r="P22" s="43" t="s">
        <v>346</v>
      </c>
    </row>
    <row r="23">
      <c r="A23" s="11" t="s">
        <v>339</v>
      </c>
      <c r="B23" s="31">
        <v>6.0</v>
      </c>
      <c r="P23" s="13" t="s">
        <v>348</v>
      </c>
      <c r="Q23" s="41">
        <v>6446.0</v>
      </c>
    </row>
    <row r="24">
      <c r="A24" s="11" t="s">
        <v>341</v>
      </c>
      <c r="B24" s="31">
        <v>113.0</v>
      </c>
      <c r="P24" s="13" t="s">
        <v>349</v>
      </c>
      <c r="Q24" s="41">
        <v>168.0</v>
      </c>
    </row>
    <row r="25">
      <c r="P25" s="13" t="s">
        <v>351</v>
      </c>
      <c r="Q25" s="41">
        <v>183.0</v>
      </c>
    </row>
    <row r="26">
      <c r="P26" s="13" t="s">
        <v>352</v>
      </c>
      <c r="Q26" s="41">
        <v>0.0</v>
      </c>
    </row>
    <row r="27">
      <c r="P27" s="13" t="s">
        <v>353</v>
      </c>
      <c r="Q27" s="41">
        <v>92.0</v>
      </c>
    </row>
    <row r="28">
      <c r="A28" s="28" t="s">
        <v>345</v>
      </c>
      <c r="P28" s="13" t="s">
        <v>354</v>
      </c>
      <c r="Q28" s="41">
        <v>2149.0</v>
      </c>
    </row>
    <row r="29">
      <c r="P29" s="13" t="s">
        <v>355</v>
      </c>
      <c r="Q29" s="41">
        <v>1857.0</v>
      </c>
    </row>
    <row r="30">
      <c r="A30" s="1" t="s">
        <v>479</v>
      </c>
      <c r="P30" s="13" t="s">
        <v>356</v>
      </c>
      <c r="Q30" s="41">
        <v>59.0</v>
      </c>
    </row>
    <row r="31">
      <c r="A31" s="44" t="s">
        <v>332</v>
      </c>
      <c r="B31" s="44" t="s">
        <v>333</v>
      </c>
      <c r="P31" s="13" t="s">
        <v>358</v>
      </c>
      <c r="Q31" s="41">
        <v>14.0</v>
      </c>
    </row>
    <row r="32">
      <c r="A32" s="11" t="s">
        <v>480</v>
      </c>
      <c r="B32" s="31">
        <v>43.0</v>
      </c>
      <c r="P32" s="13" t="s">
        <v>359</v>
      </c>
      <c r="Q32" s="41">
        <v>538.0</v>
      </c>
    </row>
    <row r="33">
      <c r="A33" s="11" t="s">
        <v>339</v>
      </c>
      <c r="B33" s="31">
        <v>7.0</v>
      </c>
      <c r="P33" s="13" t="s">
        <v>360</v>
      </c>
      <c r="Q33" s="41">
        <v>0.0</v>
      </c>
    </row>
    <row r="34">
      <c r="A34" s="11" t="s">
        <v>341</v>
      </c>
      <c r="B34" s="31">
        <v>56.0</v>
      </c>
      <c r="P34" s="13" t="s">
        <v>361</v>
      </c>
      <c r="Q34" s="41">
        <v>4549.0</v>
      </c>
    </row>
    <row r="35">
      <c r="P35" s="13" t="s">
        <v>363</v>
      </c>
      <c r="Q35" s="41">
        <v>7.0</v>
      </c>
    </row>
    <row r="36">
      <c r="P36" s="13" t="s">
        <v>364</v>
      </c>
      <c r="Q36" s="41">
        <v>554.0</v>
      </c>
    </row>
    <row r="37">
      <c r="P37" s="13" t="s">
        <v>365</v>
      </c>
      <c r="Q37" s="41">
        <v>124.0</v>
      </c>
    </row>
    <row r="38">
      <c r="A38" s="1" t="s">
        <v>357</v>
      </c>
      <c r="P38" s="13" t="s">
        <v>366</v>
      </c>
      <c r="Q38" s="41">
        <v>93.0</v>
      </c>
    </row>
    <row r="39">
      <c r="A39" s="44" t="s">
        <v>332</v>
      </c>
      <c r="B39" s="44" t="s">
        <v>333</v>
      </c>
      <c r="P39" s="13" t="s">
        <v>367</v>
      </c>
      <c r="Q39" s="41">
        <v>242.0</v>
      </c>
    </row>
    <row r="40">
      <c r="A40" s="11" t="s">
        <v>475</v>
      </c>
      <c r="B40" s="31">
        <v>2620.0</v>
      </c>
      <c r="P40" s="13" t="s">
        <v>368</v>
      </c>
      <c r="Q40" s="41">
        <v>1348.0</v>
      </c>
    </row>
    <row r="41">
      <c r="A41" s="11" t="s">
        <v>481</v>
      </c>
      <c r="B41" s="31">
        <v>1567.0</v>
      </c>
      <c r="P41" s="13" t="s">
        <v>369</v>
      </c>
      <c r="Q41" s="41">
        <v>180.0</v>
      </c>
    </row>
    <row r="42">
      <c r="A42" s="11" t="s">
        <v>339</v>
      </c>
      <c r="B42" s="31">
        <v>377.0</v>
      </c>
      <c r="P42" s="13" t="s">
        <v>370</v>
      </c>
      <c r="Q42" s="41">
        <v>0.0</v>
      </c>
    </row>
    <row r="43">
      <c r="A43" s="11" t="s">
        <v>341</v>
      </c>
      <c r="B43" s="31">
        <v>92.0</v>
      </c>
    </row>
    <row r="45">
      <c r="P45" s="43" t="s">
        <v>372</v>
      </c>
    </row>
    <row r="46">
      <c r="P46" s="13" t="s">
        <v>373</v>
      </c>
      <c r="Q46" s="41">
        <v>0.382</v>
      </c>
    </row>
    <row r="47">
      <c r="P47" s="13" t="s">
        <v>465</v>
      </c>
      <c r="Q47" s="41">
        <v>0.29800000000000004</v>
      </c>
    </row>
    <row r="48">
      <c r="P48" s="13" t="s">
        <v>466</v>
      </c>
      <c r="Q48" s="41">
        <v>0.19</v>
      </c>
    </row>
    <row r="49">
      <c r="P49" s="13" t="s">
        <v>467</v>
      </c>
      <c r="Q49" s="41">
        <v>0.066</v>
      </c>
    </row>
    <row r="50">
      <c r="P50" s="13" t="s">
        <v>377</v>
      </c>
      <c r="Q50" s="41">
        <v>0.063</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5.13"/>
    <col customWidth="1" min="13" max="13" width="53.13"/>
    <col customWidth="1" min="14" max="14" width="8.25"/>
  </cols>
  <sheetData>
    <row r="1">
      <c r="A1" s="28" t="s">
        <v>327</v>
      </c>
      <c r="N1" s="1" t="s">
        <v>457</v>
      </c>
      <c r="P1" s="28" t="s">
        <v>458</v>
      </c>
    </row>
    <row r="2">
      <c r="N2" s="41">
        <v>2418.0</v>
      </c>
      <c r="P2" s="1" t="s">
        <v>482</v>
      </c>
    </row>
    <row r="3">
      <c r="A3" s="1" t="s">
        <v>380</v>
      </c>
    </row>
    <row r="4">
      <c r="A4" s="44" t="s">
        <v>332</v>
      </c>
      <c r="B4" s="44" t="s">
        <v>333</v>
      </c>
      <c r="P4" s="13" t="s">
        <v>460</v>
      </c>
      <c r="Q4" s="41">
        <v>64.0</v>
      </c>
    </row>
    <row r="5">
      <c r="A5" s="11" t="s">
        <v>483</v>
      </c>
      <c r="B5" s="31">
        <v>815.0</v>
      </c>
      <c r="P5" s="13" t="s">
        <v>462</v>
      </c>
      <c r="Q5" s="41">
        <v>-221.0</v>
      </c>
    </row>
    <row r="6">
      <c r="A6" s="11" t="s">
        <v>339</v>
      </c>
      <c r="B6" s="31">
        <v>419.0</v>
      </c>
      <c r="P6" s="13" t="s">
        <v>463</v>
      </c>
      <c r="Q6" s="41">
        <v>-15268.05</v>
      </c>
    </row>
    <row r="7">
      <c r="A7" s="11" t="s">
        <v>341</v>
      </c>
      <c r="B7" s="31">
        <v>92.0</v>
      </c>
    </row>
    <row r="10">
      <c r="P10" s="43" t="s">
        <v>328</v>
      </c>
    </row>
    <row r="11">
      <c r="A11" s="1" t="s">
        <v>330</v>
      </c>
      <c r="P11" s="13" t="s">
        <v>329</v>
      </c>
      <c r="Q11" s="41">
        <v>2727.0</v>
      </c>
    </row>
    <row r="12">
      <c r="A12" s="44" t="s">
        <v>332</v>
      </c>
      <c r="B12" s="44" t="s">
        <v>333</v>
      </c>
      <c r="P12" s="13" t="s">
        <v>331</v>
      </c>
      <c r="Q12" s="41">
        <v>2017.0</v>
      </c>
    </row>
    <row r="13">
      <c r="A13" s="11" t="s">
        <v>484</v>
      </c>
      <c r="B13" s="31">
        <v>3114.0</v>
      </c>
      <c r="P13" s="13" t="s">
        <v>334</v>
      </c>
      <c r="Q13" s="41">
        <v>1930.0</v>
      </c>
    </row>
    <row r="14">
      <c r="A14" s="11" t="s">
        <v>339</v>
      </c>
      <c r="B14" s="31">
        <v>773.0</v>
      </c>
      <c r="P14" s="13" t="s">
        <v>336</v>
      </c>
      <c r="Q14" s="41">
        <v>3864.0</v>
      </c>
    </row>
    <row r="15">
      <c r="A15" s="11" t="s">
        <v>341</v>
      </c>
      <c r="B15" s="31">
        <v>111.0</v>
      </c>
      <c r="P15" s="13" t="s">
        <v>338</v>
      </c>
      <c r="Q15" s="41">
        <v>3109.0</v>
      </c>
    </row>
    <row r="16">
      <c r="B16" s="17">
        <f>B14/B13</f>
        <v>0.2482337829</v>
      </c>
      <c r="P16" s="13" t="s">
        <v>340</v>
      </c>
      <c r="Q16" s="41">
        <v>2812.0</v>
      </c>
    </row>
    <row r="17">
      <c r="P17" s="13" t="s">
        <v>342</v>
      </c>
      <c r="Q17" s="41">
        <v>3993.0</v>
      </c>
    </row>
    <row r="18">
      <c r="P18" s="13" t="s">
        <v>343</v>
      </c>
      <c r="Q18" s="41">
        <v>1098.0</v>
      </c>
    </row>
    <row r="19">
      <c r="A19" s="28" t="s">
        <v>345</v>
      </c>
      <c r="P19" s="13" t="s">
        <v>464</v>
      </c>
      <c r="Q19" s="41">
        <v>336.0</v>
      </c>
    </row>
    <row r="21">
      <c r="A21" s="1" t="s">
        <v>485</v>
      </c>
    </row>
    <row r="22">
      <c r="A22" s="44" t="s">
        <v>332</v>
      </c>
      <c r="B22" s="44" t="s">
        <v>333</v>
      </c>
      <c r="P22" s="43" t="s">
        <v>346</v>
      </c>
    </row>
    <row r="23">
      <c r="A23" s="11" t="s">
        <v>486</v>
      </c>
      <c r="B23" s="31">
        <v>48.0</v>
      </c>
      <c r="P23" s="13" t="s">
        <v>348</v>
      </c>
      <c r="Q23" s="41">
        <v>8017.0</v>
      </c>
    </row>
    <row r="24">
      <c r="A24" s="11" t="s">
        <v>339</v>
      </c>
      <c r="B24" s="31">
        <v>23.0</v>
      </c>
      <c r="P24" s="13" t="s">
        <v>349</v>
      </c>
      <c r="Q24" s="41">
        <v>269.0</v>
      </c>
    </row>
    <row r="25">
      <c r="A25" s="11" t="s">
        <v>341</v>
      </c>
      <c r="B25" s="31">
        <v>53.0</v>
      </c>
      <c r="P25" s="13" t="s">
        <v>351</v>
      </c>
      <c r="Q25" s="41">
        <v>96.0</v>
      </c>
    </row>
    <row r="26">
      <c r="P26" s="13" t="s">
        <v>352</v>
      </c>
      <c r="Q26" s="41">
        <v>0.0</v>
      </c>
    </row>
    <row r="27">
      <c r="P27" s="13" t="s">
        <v>353</v>
      </c>
      <c r="Q27" s="41">
        <v>34.0</v>
      </c>
    </row>
    <row r="28">
      <c r="P28" s="13" t="s">
        <v>354</v>
      </c>
      <c r="Q28" s="41">
        <v>3147.0</v>
      </c>
    </row>
    <row r="29">
      <c r="A29" s="1" t="s">
        <v>347</v>
      </c>
      <c r="P29" s="13" t="s">
        <v>355</v>
      </c>
      <c r="Q29" s="41">
        <v>259.0</v>
      </c>
    </row>
    <row r="30">
      <c r="A30" s="44" t="s">
        <v>332</v>
      </c>
      <c r="B30" s="44" t="s">
        <v>333</v>
      </c>
      <c r="P30" s="13" t="s">
        <v>356</v>
      </c>
      <c r="Q30" s="41">
        <v>67.0</v>
      </c>
    </row>
    <row r="31">
      <c r="A31" s="11" t="s">
        <v>483</v>
      </c>
      <c r="B31" s="31">
        <v>920.0</v>
      </c>
      <c r="P31" s="13" t="s">
        <v>358</v>
      </c>
      <c r="Q31" s="41">
        <v>168.0</v>
      </c>
    </row>
    <row r="32">
      <c r="A32" s="11" t="s">
        <v>339</v>
      </c>
      <c r="B32" s="31">
        <v>435.0</v>
      </c>
      <c r="P32" s="13" t="s">
        <v>359</v>
      </c>
      <c r="Q32" s="41">
        <v>591.0</v>
      </c>
    </row>
    <row r="33">
      <c r="A33" s="11" t="s">
        <v>341</v>
      </c>
      <c r="B33" s="31">
        <v>36.0</v>
      </c>
      <c r="P33" s="13" t="s">
        <v>360</v>
      </c>
      <c r="Q33" s="41">
        <v>0.0</v>
      </c>
    </row>
    <row r="34">
      <c r="P34" s="13" t="s">
        <v>361</v>
      </c>
      <c r="Q34" s="41">
        <v>2639.0</v>
      </c>
    </row>
    <row r="35">
      <c r="P35" s="13" t="s">
        <v>363</v>
      </c>
      <c r="Q35" s="41">
        <v>396.0</v>
      </c>
    </row>
    <row r="36">
      <c r="P36" s="13" t="s">
        <v>364</v>
      </c>
      <c r="Q36" s="41">
        <v>100.0</v>
      </c>
    </row>
    <row r="37">
      <c r="A37" s="1" t="s">
        <v>487</v>
      </c>
      <c r="P37" s="13" t="s">
        <v>365</v>
      </c>
      <c r="Q37" s="41">
        <v>667.0</v>
      </c>
    </row>
    <row r="38">
      <c r="A38" s="44" t="s">
        <v>332</v>
      </c>
      <c r="B38" s="44" t="s">
        <v>333</v>
      </c>
      <c r="P38" s="13" t="s">
        <v>366</v>
      </c>
      <c r="Q38" s="41">
        <v>180.0</v>
      </c>
    </row>
    <row r="39">
      <c r="A39" s="11" t="s">
        <v>488</v>
      </c>
      <c r="B39" s="31">
        <v>22.0</v>
      </c>
      <c r="P39" s="13" t="s">
        <v>367</v>
      </c>
      <c r="Q39" s="41">
        <v>192.0</v>
      </c>
    </row>
    <row r="40">
      <c r="A40" s="11" t="s">
        <v>339</v>
      </c>
      <c r="B40" s="31">
        <v>10.0</v>
      </c>
      <c r="P40" s="13" t="s">
        <v>368</v>
      </c>
      <c r="Q40" s="41">
        <v>1188.0</v>
      </c>
    </row>
    <row r="41">
      <c r="A41" s="11" t="s">
        <v>341</v>
      </c>
      <c r="B41" s="31">
        <v>45.0</v>
      </c>
      <c r="P41" s="13" t="s">
        <v>369</v>
      </c>
      <c r="Q41" s="41">
        <v>255.0</v>
      </c>
    </row>
    <row r="42">
      <c r="P42" s="13" t="s">
        <v>370</v>
      </c>
      <c r="Q42" s="41">
        <v>0.0</v>
      </c>
    </row>
    <row r="45">
      <c r="A45" s="1" t="s">
        <v>357</v>
      </c>
      <c r="P45" s="43" t="s">
        <v>372</v>
      </c>
    </row>
    <row r="46">
      <c r="A46" s="44" t="s">
        <v>332</v>
      </c>
      <c r="B46" s="44" t="s">
        <v>333</v>
      </c>
      <c r="P46" s="13" t="s">
        <v>373</v>
      </c>
      <c r="Q46" s="41">
        <v>0.506</v>
      </c>
    </row>
    <row r="47">
      <c r="A47" s="11" t="s">
        <v>484</v>
      </c>
      <c r="B47" s="31">
        <v>3325.0</v>
      </c>
      <c r="P47" s="13" t="s">
        <v>465</v>
      </c>
      <c r="Q47" s="41">
        <v>0.245</v>
      </c>
    </row>
    <row r="48">
      <c r="A48" s="11" t="s">
        <v>339</v>
      </c>
      <c r="B48" s="31">
        <v>653.0</v>
      </c>
      <c r="P48" s="13" t="s">
        <v>466</v>
      </c>
      <c r="Q48" s="41">
        <v>0.123</v>
      </c>
    </row>
    <row r="49">
      <c r="A49" s="11" t="s">
        <v>341</v>
      </c>
      <c r="B49" s="31">
        <v>84.0</v>
      </c>
      <c r="P49" s="13" t="s">
        <v>467</v>
      </c>
      <c r="Q49" s="41">
        <v>0.05</v>
      </c>
    </row>
    <row r="50">
      <c r="P50" s="13" t="s">
        <v>377</v>
      </c>
      <c r="Q50" s="41">
        <v>0.075</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5.13"/>
    <col customWidth="1" min="13" max="13" width="57.5"/>
    <col customWidth="1" min="14" max="14" width="9.13"/>
  </cols>
  <sheetData>
    <row r="1">
      <c r="A1" s="28" t="s">
        <v>327</v>
      </c>
      <c r="N1" s="1" t="s">
        <v>457</v>
      </c>
      <c r="P1" s="28" t="s">
        <v>458</v>
      </c>
    </row>
    <row r="2">
      <c r="N2" s="41">
        <v>2755.7999999999997</v>
      </c>
      <c r="P2" s="1" t="s">
        <v>489</v>
      </c>
    </row>
    <row r="3">
      <c r="A3" s="1" t="s">
        <v>380</v>
      </c>
    </row>
    <row r="4">
      <c r="A4" s="44" t="s">
        <v>332</v>
      </c>
      <c r="B4" s="44" t="s">
        <v>333</v>
      </c>
      <c r="P4" s="13" t="s">
        <v>460</v>
      </c>
      <c r="Q4" s="41">
        <v>-157.20000000000027</v>
      </c>
    </row>
    <row r="5">
      <c r="A5" s="11" t="s">
        <v>490</v>
      </c>
      <c r="B5" s="31">
        <v>984.0</v>
      </c>
      <c r="P5" s="13" t="s">
        <v>462</v>
      </c>
      <c r="Q5" s="41">
        <v>1098.7999999999997</v>
      </c>
    </row>
    <row r="6">
      <c r="A6" s="11" t="s">
        <v>339</v>
      </c>
      <c r="B6" s="31">
        <v>338.0</v>
      </c>
      <c r="P6" s="13" t="s">
        <v>463</v>
      </c>
      <c r="Q6" s="41">
        <v>-14371.513000000003</v>
      </c>
    </row>
    <row r="7">
      <c r="A7" s="11" t="s">
        <v>341</v>
      </c>
      <c r="B7" s="31">
        <v>111.0</v>
      </c>
    </row>
    <row r="10">
      <c r="P10" s="43" t="s">
        <v>328</v>
      </c>
    </row>
    <row r="11">
      <c r="A11" s="1" t="s">
        <v>330</v>
      </c>
      <c r="P11" s="13" t="s">
        <v>329</v>
      </c>
      <c r="Q11" s="41">
        <v>2822.0</v>
      </c>
    </row>
    <row r="12">
      <c r="A12" s="44" t="s">
        <v>332</v>
      </c>
      <c r="B12" s="44" t="s">
        <v>333</v>
      </c>
      <c r="P12" s="13" t="s">
        <v>331</v>
      </c>
      <c r="Q12" s="41">
        <v>2325.0</v>
      </c>
    </row>
    <row r="13">
      <c r="A13" s="11" t="s">
        <v>491</v>
      </c>
      <c r="B13" s="31">
        <v>2939.0</v>
      </c>
      <c r="P13" s="13" t="s">
        <v>334</v>
      </c>
      <c r="Q13" s="41">
        <v>2081.0</v>
      </c>
    </row>
    <row r="14">
      <c r="A14" s="11" t="s">
        <v>492</v>
      </c>
      <c r="B14" s="31">
        <v>616.0</v>
      </c>
      <c r="P14" s="13" t="s">
        <v>336</v>
      </c>
      <c r="Q14" s="41">
        <v>3000.0</v>
      </c>
    </row>
    <row r="15">
      <c r="A15" s="11" t="s">
        <v>339</v>
      </c>
      <c r="B15" s="31">
        <v>777.0</v>
      </c>
      <c r="P15" s="13" t="s">
        <v>338</v>
      </c>
      <c r="Q15" s="41">
        <v>2771.0</v>
      </c>
    </row>
    <row r="16">
      <c r="A16" s="11" t="s">
        <v>341</v>
      </c>
      <c r="B16" s="31">
        <v>111.0</v>
      </c>
      <c r="P16" s="13" t="s">
        <v>340</v>
      </c>
      <c r="Q16" s="41">
        <v>3481.0</v>
      </c>
    </row>
    <row r="17">
      <c r="P17" s="13" t="s">
        <v>342</v>
      </c>
      <c r="Q17" s="41">
        <v>4219.0</v>
      </c>
    </row>
    <row r="18">
      <c r="P18" s="13" t="s">
        <v>343</v>
      </c>
      <c r="Q18" s="41">
        <v>1791.0</v>
      </c>
    </row>
    <row r="19">
      <c r="P19" s="13" t="s">
        <v>464</v>
      </c>
      <c r="Q19" s="41">
        <v>324.0</v>
      </c>
    </row>
    <row r="20">
      <c r="A20" s="1" t="s">
        <v>477</v>
      </c>
    </row>
    <row r="21">
      <c r="A21" s="44" t="s">
        <v>332</v>
      </c>
      <c r="B21" s="44" t="s">
        <v>333</v>
      </c>
    </row>
    <row r="22">
      <c r="A22" s="11" t="s">
        <v>493</v>
      </c>
      <c r="B22" s="31">
        <v>39.0</v>
      </c>
      <c r="P22" s="43" t="s">
        <v>346</v>
      </c>
    </row>
    <row r="23">
      <c r="A23" s="11" t="s">
        <v>339</v>
      </c>
      <c r="B23" s="31">
        <v>8.0</v>
      </c>
      <c r="P23" s="13" t="s">
        <v>348</v>
      </c>
      <c r="Q23" s="41">
        <v>8013.0</v>
      </c>
    </row>
    <row r="24">
      <c r="A24" s="11" t="s">
        <v>341</v>
      </c>
      <c r="B24" s="31">
        <v>85.0</v>
      </c>
      <c r="P24" s="13" t="s">
        <v>349</v>
      </c>
      <c r="Q24" s="41">
        <v>224.0</v>
      </c>
    </row>
    <row r="25">
      <c r="P25" s="13" t="s">
        <v>351</v>
      </c>
      <c r="Q25" s="41">
        <v>104.0</v>
      </c>
    </row>
    <row r="26">
      <c r="P26" s="13" t="s">
        <v>352</v>
      </c>
      <c r="Q26" s="41">
        <v>41.0</v>
      </c>
    </row>
    <row r="27">
      <c r="P27" s="13" t="s">
        <v>353</v>
      </c>
      <c r="Q27" s="41">
        <v>59.0</v>
      </c>
    </row>
    <row r="28">
      <c r="A28" s="28" t="s">
        <v>345</v>
      </c>
      <c r="P28" s="13" t="s">
        <v>354</v>
      </c>
      <c r="Q28" s="41">
        <v>2129.0</v>
      </c>
    </row>
    <row r="29">
      <c r="P29" s="13" t="s">
        <v>355</v>
      </c>
      <c r="Q29" s="41">
        <v>1243.0</v>
      </c>
    </row>
    <row r="30">
      <c r="A30" s="1" t="s">
        <v>347</v>
      </c>
      <c r="P30" s="13" t="s">
        <v>356</v>
      </c>
      <c r="Q30" s="41">
        <v>29.0</v>
      </c>
    </row>
    <row r="31">
      <c r="A31" s="44" t="s">
        <v>332</v>
      </c>
      <c r="B31" s="44" t="s">
        <v>333</v>
      </c>
      <c r="P31" s="13" t="s">
        <v>358</v>
      </c>
      <c r="Q31" s="41">
        <v>0.0</v>
      </c>
    </row>
    <row r="32">
      <c r="A32" s="11" t="s">
        <v>494</v>
      </c>
      <c r="B32" s="31">
        <v>908.0</v>
      </c>
      <c r="P32" s="13" t="s">
        <v>359</v>
      </c>
      <c r="Q32" s="41">
        <v>262.0</v>
      </c>
    </row>
    <row r="33">
      <c r="A33" s="11" t="s">
        <v>339</v>
      </c>
      <c r="B33" s="31">
        <v>422.0</v>
      </c>
      <c r="P33" s="13" t="s">
        <v>360</v>
      </c>
      <c r="Q33" s="41">
        <v>3.0</v>
      </c>
    </row>
    <row r="34">
      <c r="A34" s="11" t="s">
        <v>341</v>
      </c>
      <c r="B34" s="31">
        <v>31.0</v>
      </c>
      <c r="P34" s="13" t="s">
        <v>361</v>
      </c>
      <c r="Q34" s="41">
        <v>1657.0</v>
      </c>
    </row>
    <row r="35">
      <c r="P35" s="13" t="s">
        <v>363</v>
      </c>
      <c r="Q35" s="41">
        <v>114.0</v>
      </c>
    </row>
    <row r="36">
      <c r="P36" s="13" t="s">
        <v>364</v>
      </c>
      <c r="Q36" s="41">
        <v>190.0</v>
      </c>
    </row>
    <row r="37">
      <c r="P37" s="13" t="s">
        <v>365</v>
      </c>
      <c r="Q37" s="41">
        <v>763.0</v>
      </c>
    </row>
    <row r="38">
      <c r="A38" s="1" t="s">
        <v>487</v>
      </c>
      <c r="P38" s="13" t="s">
        <v>366</v>
      </c>
      <c r="Q38" s="41">
        <v>192.0</v>
      </c>
    </row>
    <row r="39">
      <c r="A39" s="44" t="s">
        <v>332</v>
      </c>
      <c r="B39" s="44" t="s">
        <v>333</v>
      </c>
      <c r="P39" s="13" t="s">
        <v>367</v>
      </c>
      <c r="Q39" s="41">
        <v>322.0</v>
      </c>
    </row>
    <row r="40">
      <c r="A40" s="11" t="s">
        <v>495</v>
      </c>
      <c r="B40" s="31">
        <v>21.0</v>
      </c>
      <c r="P40" s="13" t="s">
        <v>368</v>
      </c>
      <c r="Q40" s="41">
        <v>1228.0</v>
      </c>
    </row>
    <row r="41">
      <c r="A41" s="11" t="s">
        <v>339</v>
      </c>
      <c r="B41" s="31">
        <v>6.0</v>
      </c>
      <c r="P41" s="13" t="s">
        <v>369</v>
      </c>
      <c r="Q41" s="41">
        <v>137.0</v>
      </c>
    </row>
    <row r="42">
      <c r="A42" s="11" t="s">
        <v>341</v>
      </c>
      <c r="B42" s="31">
        <v>51.0</v>
      </c>
      <c r="P42" s="13" t="s">
        <v>370</v>
      </c>
      <c r="Q42" s="41">
        <v>0.0</v>
      </c>
    </row>
    <row r="45">
      <c r="P45" s="43" t="s">
        <v>372</v>
      </c>
    </row>
    <row r="46">
      <c r="A46" s="1" t="s">
        <v>357</v>
      </c>
      <c r="P46" s="13" t="s">
        <v>373</v>
      </c>
      <c r="Q46" s="41">
        <v>0.41500000000000004</v>
      </c>
    </row>
    <row r="47">
      <c r="A47" s="44" t="s">
        <v>332</v>
      </c>
      <c r="B47" s="44" t="s">
        <v>333</v>
      </c>
      <c r="P47" s="13" t="s">
        <v>465</v>
      </c>
      <c r="Q47" s="41">
        <v>0.29400000000000004</v>
      </c>
    </row>
    <row r="48">
      <c r="A48" s="11" t="s">
        <v>491</v>
      </c>
      <c r="B48" s="31">
        <v>3479.0</v>
      </c>
      <c r="P48" s="13" t="s">
        <v>466</v>
      </c>
      <c r="Q48" s="41">
        <v>0.15</v>
      </c>
    </row>
    <row r="49">
      <c r="A49" s="11" t="s">
        <v>339</v>
      </c>
      <c r="B49" s="31">
        <v>1197.0</v>
      </c>
      <c r="P49" s="13" t="s">
        <v>467</v>
      </c>
      <c r="Q49" s="41">
        <v>0.051</v>
      </c>
    </row>
    <row r="50">
      <c r="A50" s="11" t="s">
        <v>341</v>
      </c>
      <c r="B50" s="31">
        <v>67.0</v>
      </c>
      <c r="P50" s="13" t="s">
        <v>377</v>
      </c>
      <c r="Q50" s="41">
        <v>0.091</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1" max="11" width="7.63"/>
    <col customWidth="1" min="12" max="12" width="64.88"/>
    <col customWidth="1" min="13" max="13" width="15.13"/>
    <col customWidth="1" min="14" max="14" width="49.63"/>
    <col customWidth="1" min="15" max="15" width="50.75"/>
  </cols>
  <sheetData>
    <row r="1">
      <c r="A1" s="28" t="s">
        <v>327</v>
      </c>
      <c r="M1" s="1" t="s">
        <v>457</v>
      </c>
      <c r="N1" s="28" t="s">
        <v>458</v>
      </c>
    </row>
    <row r="2">
      <c r="M2" s="41">
        <v>2727.2999999999997</v>
      </c>
      <c r="N2" s="1" t="s">
        <v>496</v>
      </c>
    </row>
    <row r="3">
      <c r="A3" s="1" t="s">
        <v>380</v>
      </c>
    </row>
    <row r="4">
      <c r="A4" s="44" t="s">
        <v>332</v>
      </c>
      <c r="B4" s="44" t="s">
        <v>333</v>
      </c>
      <c r="N4" s="13" t="s">
        <v>460</v>
      </c>
      <c r="O4" s="41">
        <v>454.2999999999997</v>
      </c>
    </row>
    <row r="5">
      <c r="A5" s="11" t="s">
        <v>497</v>
      </c>
      <c r="B5" s="31">
        <v>1068.0</v>
      </c>
      <c r="N5" s="13" t="s">
        <v>462</v>
      </c>
      <c r="O5" s="41">
        <v>1760.2999999999997</v>
      </c>
    </row>
    <row r="6">
      <c r="A6" s="11" t="s">
        <v>339</v>
      </c>
      <c r="B6" s="31">
        <v>451.0</v>
      </c>
      <c r="N6" s="13" t="s">
        <v>463</v>
      </c>
      <c r="O6" s="41">
        <v>-13222.050000000001</v>
      </c>
    </row>
    <row r="7">
      <c r="A7" s="11" t="s">
        <v>341</v>
      </c>
      <c r="B7" s="31">
        <v>76.0</v>
      </c>
    </row>
    <row r="10">
      <c r="N10" s="43" t="s">
        <v>328</v>
      </c>
    </row>
    <row r="11">
      <c r="A11" s="1" t="s">
        <v>330</v>
      </c>
      <c r="N11" s="13" t="s">
        <v>329</v>
      </c>
      <c r="O11" s="41">
        <v>2523.0</v>
      </c>
    </row>
    <row r="12">
      <c r="A12" s="44" t="s">
        <v>332</v>
      </c>
      <c r="B12" s="44" t="s">
        <v>333</v>
      </c>
      <c r="N12" s="13" t="s">
        <v>331</v>
      </c>
      <c r="O12" s="41">
        <v>2290.0</v>
      </c>
    </row>
    <row r="13">
      <c r="A13" s="11" t="s">
        <v>498</v>
      </c>
      <c r="B13" s="31">
        <v>3280.0</v>
      </c>
      <c r="N13" s="13" t="s">
        <v>334</v>
      </c>
      <c r="O13" s="41">
        <v>3241.0</v>
      </c>
    </row>
    <row r="14">
      <c r="A14" s="11" t="s">
        <v>499</v>
      </c>
      <c r="B14" s="31">
        <v>260.0</v>
      </c>
      <c r="N14" s="13" t="s">
        <v>336</v>
      </c>
      <c r="O14" s="41">
        <v>3012.0</v>
      </c>
    </row>
    <row r="15">
      <c r="A15" s="11" t="s">
        <v>339</v>
      </c>
      <c r="B15" s="31">
        <v>724.0</v>
      </c>
      <c r="N15" s="13" t="s">
        <v>338</v>
      </c>
      <c r="O15" s="41">
        <v>3372.0</v>
      </c>
    </row>
    <row r="16">
      <c r="A16" s="11" t="s">
        <v>341</v>
      </c>
      <c r="B16" s="31">
        <v>82.0</v>
      </c>
      <c r="N16" s="13" t="s">
        <v>340</v>
      </c>
      <c r="O16" s="41">
        <v>4451.0</v>
      </c>
    </row>
    <row r="17">
      <c r="B17" s="17">
        <f>B15/B13</f>
        <v>0.2207317073</v>
      </c>
      <c r="N17" s="13" t="s">
        <v>342</v>
      </c>
      <c r="O17" s="41">
        <v>4657.0</v>
      </c>
    </row>
    <row r="18">
      <c r="N18" s="13" t="s">
        <v>343</v>
      </c>
      <c r="O18" s="41">
        <v>2077.0</v>
      </c>
    </row>
    <row r="19">
      <c r="N19" s="13" t="s">
        <v>464</v>
      </c>
      <c r="O19" s="41">
        <v>505.0</v>
      </c>
    </row>
    <row r="20">
      <c r="A20" s="28" t="s">
        <v>345</v>
      </c>
      <c r="O20" s="17">
        <f>sum(O11:O19)</f>
        <v>26128</v>
      </c>
    </row>
    <row r="22">
      <c r="A22" s="1" t="s">
        <v>347</v>
      </c>
      <c r="N22" s="43" t="s">
        <v>346</v>
      </c>
    </row>
    <row r="23">
      <c r="A23" s="44" t="s">
        <v>332</v>
      </c>
      <c r="B23" s="44" t="s">
        <v>333</v>
      </c>
      <c r="N23" s="13" t="s">
        <v>348</v>
      </c>
      <c r="O23" s="41">
        <v>14271.0</v>
      </c>
    </row>
    <row r="24">
      <c r="A24" s="11" t="s">
        <v>500</v>
      </c>
      <c r="B24" s="31">
        <v>1196.0</v>
      </c>
      <c r="N24" s="13" t="s">
        <v>349</v>
      </c>
      <c r="O24" s="41">
        <v>132.0</v>
      </c>
    </row>
    <row r="25">
      <c r="A25" s="11" t="s">
        <v>339</v>
      </c>
      <c r="B25" s="31">
        <v>493.0</v>
      </c>
      <c r="N25" s="13" t="s">
        <v>351</v>
      </c>
      <c r="O25" s="41">
        <v>5.0</v>
      </c>
    </row>
    <row r="26">
      <c r="A26" s="11" t="s">
        <v>341</v>
      </c>
      <c r="B26" s="31">
        <v>52.0</v>
      </c>
      <c r="N26" s="13" t="s">
        <v>352</v>
      </c>
      <c r="O26" s="41">
        <v>26.0</v>
      </c>
    </row>
    <row r="27">
      <c r="N27" s="13" t="s">
        <v>353</v>
      </c>
      <c r="O27" s="41">
        <v>850.0</v>
      </c>
    </row>
    <row r="28">
      <c r="N28" s="13" t="s">
        <v>354</v>
      </c>
      <c r="O28" s="41">
        <v>2135.0</v>
      </c>
    </row>
    <row r="29">
      <c r="N29" s="13" t="s">
        <v>355</v>
      </c>
      <c r="O29" s="41">
        <v>1717.0</v>
      </c>
    </row>
    <row r="30">
      <c r="A30" s="1" t="s">
        <v>357</v>
      </c>
      <c r="N30" s="13" t="s">
        <v>356</v>
      </c>
      <c r="O30" s="41">
        <v>133.0</v>
      </c>
    </row>
    <row r="31">
      <c r="A31" s="44" t="s">
        <v>332</v>
      </c>
      <c r="B31" s="44" t="s">
        <v>333</v>
      </c>
      <c r="N31" s="13" t="s">
        <v>358</v>
      </c>
      <c r="O31" s="41">
        <v>3.0</v>
      </c>
    </row>
    <row r="32">
      <c r="A32" s="11" t="s">
        <v>501</v>
      </c>
      <c r="B32" s="31">
        <v>2981.0</v>
      </c>
      <c r="N32" s="13" t="s">
        <v>359</v>
      </c>
      <c r="O32" s="41">
        <v>756.0</v>
      </c>
    </row>
    <row r="33">
      <c r="A33" s="11" t="s">
        <v>502</v>
      </c>
      <c r="B33" s="31">
        <v>449.0</v>
      </c>
      <c r="N33" s="13" t="s">
        <v>360</v>
      </c>
      <c r="O33" s="41">
        <v>0.0</v>
      </c>
    </row>
    <row r="34">
      <c r="A34" s="11" t="s">
        <v>503</v>
      </c>
      <c r="B34" s="31">
        <v>213.0</v>
      </c>
      <c r="N34" s="13" t="s">
        <v>361</v>
      </c>
      <c r="O34" s="41">
        <v>967.0</v>
      </c>
    </row>
    <row r="35">
      <c r="A35" s="11" t="s">
        <v>339</v>
      </c>
      <c r="B35" s="31">
        <v>1008.0</v>
      </c>
      <c r="N35" s="13" t="s">
        <v>363</v>
      </c>
      <c r="O35" s="41">
        <v>76.0</v>
      </c>
    </row>
    <row r="36">
      <c r="A36" s="11" t="s">
        <v>341</v>
      </c>
      <c r="B36" s="31">
        <v>94.0</v>
      </c>
      <c r="N36" s="13" t="s">
        <v>364</v>
      </c>
      <c r="O36" s="41">
        <v>401.0</v>
      </c>
    </row>
    <row r="37">
      <c r="N37" s="13" t="s">
        <v>365</v>
      </c>
      <c r="O37" s="41">
        <v>692.0</v>
      </c>
    </row>
    <row r="38">
      <c r="B38" s="17">
        <f>B35/B32</f>
        <v>0.3381415632</v>
      </c>
      <c r="N38" s="13" t="s">
        <v>366</v>
      </c>
      <c r="O38" s="41">
        <v>98.0</v>
      </c>
    </row>
    <row r="39">
      <c r="N39" s="13" t="s">
        <v>367</v>
      </c>
      <c r="O39" s="41">
        <v>241.0</v>
      </c>
    </row>
    <row r="40">
      <c r="N40" s="13" t="s">
        <v>368</v>
      </c>
      <c r="O40" s="41">
        <v>1125.0</v>
      </c>
    </row>
    <row r="41">
      <c r="N41" s="13" t="s">
        <v>369</v>
      </c>
      <c r="O41" s="41">
        <v>630.0</v>
      </c>
    </row>
    <row r="42">
      <c r="N42" s="13" t="s">
        <v>370</v>
      </c>
      <c r="O42" s="41">
        <v>17.0</v>
      </c>
    </row>
    <row r="45">
      <c r="N45" s="43" t="s">
        <v>372</v>
      </c>
    </row>
    <row r="46">
      <c r="N46" s="13" t="s">
        <v>373</v>
      </c>
      <c r="O46" s="41">
        <v>0.245</v>
      </c>
    </row>
    <row r="47">
      <c r="N47" s="13" t="s">
        <v>465</v>
      </c>
      <c r="O47" s="41">
        <v>0.33</v>
      </c>
    </row>
    <row r="48">
      <c r="N48" s="13" t="s">
        <v>466</v>
      </c>
      <c r="O48" s="41">
        <v>0.145</v>
      </c>
    </row>
    <row r="49">
      <c r="N49" s="13" t="s">
        <v>467</v>
      </c>
      <c r="O49" s="41">
        <v>0.108</v>
      </c>
    </row>
    <row r="50">
      <c r="N50" s="13" t="s">
        <v>377</v>
      </c>
      <c r="O50" s="41">
        <v>0.172</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5.13"/>
    <col customWidth="1" min="12" max="12" width="77.88"/>
    <col customWidth="1" min="13" max="13" width="17.5"/>
    <col customWidth="1" min="14" max="14" width="36.38"/>
  </cols>
  <sheetData>
    <row r="1">
      <c r="A1" s="28" t="s">
        <v>327</v>
      </c>
      <c r="M1" s="1" t="s">
        <v>457</v>
      </c>
      <c r="N1" s="28" t="s">
        <v>458</v>
      </c>
    </row>
    <row r="2">
      <c r="M2" s="41">
        <v>2031.6</v>
      </c>
      <c r="N2" s="1" t="s">
        <v>504</v>
      </c>
    </row>
    <row r="3">
      <c r="A3" s="1" t="s">
        <v>380</v>
      </c>
    </row>
    <row r="4">
      <c r="A4" s="44" t="s">
        <v>332</v>
      </c>
      <c r="B4" s="44" t="s">
        <v>333</v>
      </c>
      <c r="N4" s="13" t="s">
        <v>460</v>
      </c>
      <c r="O4" s="41">
        <v>-2016.4</v>
      </c>
    </row>
    <row r="5">
      <c r="A5" s="11" t="s">
        <v>505</v>
      </c>
      <c r="B5" s="31">
        <v>965.0</v>
      </c>
      <c r="N5" s="13" t="s">
        <v>462</v>
      </c>
      <c r="O5" s="41">
        <v>-1038.4</v>
      </c>
    </row>
    <row r="6">
      <c r="A6" s="11" t="s">
        <v>339</v>
      </c>
      <c r="B6" s="31">
        <v>395.0</v>
      </c>
      <c r="N6" s="13" t="s">
        <v>463</v>
      </c>
      <c r="O6" s="41">
        <v>-10144.499</v>
      </c>
    </row>
    <row r="7">
      <c r="A7" s="11" t="s">
        <v>341</v>
      </c>
      <c r="B7" s="31">
        <v>63.0</v>
      </c>
    </row>
    <row r="10">
      <c r="N10" s="43" t="s">
        <v>328</v>
      </c>
    </row>
    <row r="11">
      <c r="A11" s="1" t="s">
        <v>330</v>
      </c>
      <c r="N11" s="13" t="s">
        <v>329</v>
      </c>
      <c r="O11" s="41">
        <v>3151.0</v>
      </c>
    </row>
    <row r="12">
      <c r="A12" s="44" t="s">
        <v>332</v>
      </c>
      <c r="B12" s="44" t="s">
        <v>333</v>
      </c>
      <c r="N12" s="13" t="s">
        <v>331</v>
      </c>
      <c r="O12" s="41">
        <v>2414.0</v>
      </c>
    </row>
    <row r="13">
      <c r="A13" s="11" t="s">
        <v>506</v>
      </c>
      <c r="B13" s="31">
        <v>2483.0</v>
      </c>
      <c r="N13" s="13" t="s">
        <v>334</v>
      </c>
      <c r="O13" s="41">
        <v>3817.0</v>
      </c>
    </row>
    <row r="14">
      <c r="A14" s="11" t="s">
        <v>339</v>
      </c>
      <c r="B14" s="31">
        <v>589.0</v>
      </c>
      <c r="N14" s="13" t="s">
        <v>336</v>
      </c>
      <c r="O14" s="41">
        <v>2661.0</v>
      </c>
    </row>
    <row r="15">
      <c r="A15" s="11" t="s">
        <v>341</v>
      </c>
      <c r="B15" s="31">
        <v>65.0</v>
      </c>
      <c r="N15" s="13" t="s">
        <v>338</v>
      </c>
      <c r="O15" s="41">
        <v>2818.0</v>
      </c>
    </row>
    <row r="16">
      <c r="N16" s="13" t="s">
        <v>340</v>
      </c>
      <c r="O16" s="41">
        <v>3309.0</v>
      </c>
    </row>
    <row r="17">
      <c r="B17" s="17">
        <f>589/2483</f>
        <v>0.2372130487</v>
      </c>
      <c r="N17" s="13" t="s">
        <v>342</v>
      </c>
      <c r="O17" s="41">
        <v>3274.0</v>
      </c>
    </row>
    <row r="18">
      <c r="N18" s="13" t="s">
        <v>343</v>
      </c>
      <c r="O18" s="41">
        <v>1246.0</v>
      </c>
    </row>
    <row r="19">
      <c r="A19" s="28" t="s">
        <v>345</v>
      </c>
      <c r="N19" s="13" t="s">
        <v>464</v>
      </c>
      <c r="O19" s="41">
        <v>434.0</v>
      </c>
    </row>
    <row r="21">
      <c r="A21" s="1" t="s">
        <v>357</v>
      </c>
    </row>
    <row r="22">
      <c r="A22" s="44" t="s">
        <v>332</v>
      </c>
      <c r="B22" s="44" t="s">
        <v>333</v>
      </c>
      <c r="N22" s="43" t="s">
        <v>346</v>
      </c>
    </row>
    <row r="23">
      <c r="A23" s="11" t="s">
        <v>506</v>
      </c>
      <c r="B23" s="31">
        <v>2910.0</v>
      </c>
      <c r="N23" s="13" t="s">
        <v>348</v>
      </c>
      <c r="O23" s="41">
        <v>8962.0</v>
      </c>
    </row>
    <row r="24">
      <c r="A24" s="11" t="s">
        <v>339</v>
      </c>
      <c r="B24" s="31">
        <v>633.0</v>
      </c>
      <c r="N24" s="13" t="s">
        <v>349</v>
      </c>
      <c r="O24" s="41">
        <v>160.0</v>
      </c>
    </row>
    <row r="25">
      <c r="A25" s="11" t="s">
        <v>341</v>
      </c>
      <c r="B25" s="31">
        <v>92.0</v>
      </c>
      <c r="N25" s="13" t="s">
        <v>351</v>
      </c>
      <c r="O25" s="41">
        <v>14.0</v>
      </c>
    </row>
    <row r="26">
      <c r="N26" s="13" t="s">
        <v>352</v>
      </c>
      <c r="O26" s="41">
        <v>34.0</v>
      </c>
    </row>
    <row r="27">
      <c r="N27" s="13" t="s">
        <v>353</v>
      </c>
      <c r="O27" s="41">
        <v>105.0</v>
      </c>
    </row>
    <row r="28">
      <c r="N28" s="13" t="s">
        <v>354</v>
      </c>
      <c r="O28" s="41">
        <v>1612.0</v>
      </c>
    </row>
    <row r="29">
      <c r="N29" s="13" t="s">
        <v>355</v>
      </c>
      <c r="O29" s="41">
        <v>1293.0</v>
      </c>
    </row>
    <row r="30">
      <c r="N30" s="13" t="s">
        <v>356</v>
      </c>
      <c r="O30" s="41">
        <v>146.0</v>
      </c>
    </row>
    <row r="31">
      <c r="N31" s="13" t="s">
        <v>358</v>
      </c>
      <c r="O31" s="41">
        <v>50.0</v>
      </c>
    </row>
    <row r="32">
      <c r="N32" s="13" t="s">
        <v>359</v>
      </c>
      <c r="O32" s="41">
        <v>346.0</v>
      </c>
    </row>
    <row r="33">
      <c r="N33" s="13" t="s">
        <v>360</v>
      </c>
      <c r="O33" s="41">
        <v>19.0</v>
      </c>
    </row>
    <row r="34">
      <c r="N34" s="13" t="s">
        <v>361</v>
      </c>
      <c r="O34" s="41">
        <v>3070.0</v>
      </c>
    </row>
    <row r="35">
      <c r="N35" s="13" t="s">
        <v>363</v>
      </c>
      <c r="O35" s="41">
        <v>7.0</v>
      </c>
    </row>
    <row r="36">
      <c r="N36" s="13" t="s">
        <v>364</v>
      </c>
      <c r="O36" s="41">
        <v>1726.0</v>
      </c>
    </row>
    <row r="37">
      <c r="N37" s="13" t="s">
        <v>365</v>
      </c>
      <c r="O37" s="41">
        <v>535.0</v>
      </c>
    </row>
    <row r="38">
      <c r="N38" s="13" t="s">
        <v>366</v>
      </c>
      <c r="O38" s="41">
        <v>53.0</v>
      </c>
    </row>
    <row r="39">
      <c r="N39" s="13" t="s">
        <v>367</v>
      </c>
      <c r="O39" s="41">
        <v>273.0</v>
      </c>
    </row>
    <row r="40">
      <c r="N40" s="13" t="s">
        <v>368</v>
      </c>
      <c r="O40" s="41">
        <v>876.0</v>
      </c>
    </row>
    <row r="41">
      <c r="N41" s="13" t="s">
        <v>369</v>
      </c>
      <c r="O41" s="41">
        <v>432.0</v>
      </c>
    </row>
    <row r="42">
      <c r="N42" s="13" t="s">
        <v>370</v>
      </c>
      <c r="O42" s="41">
        <v>13.0</v>
      </c>
    </row>
    <row r="45">
      <c r="N45" s="43" t="s">
        <v>372</v>
      </c>
    </row>
    <row r="46">
      <c r="N46" s="13" t="s">
        <v>373</v>
      </c>
      <c r="O46" s="41">
        <v>0.24</v>
      </c>
    </row>
    <row r="47">
      <c r="N47" s="13" t="s">
        <v>465</v>
      </c>
      <c r="O47" s="41">
        <v>0.259</v>
      </c>
    </row>
    <row r="48">
      <c r="N48" s="13" t="s">
        <v>466</v>
      </c>
      <c r="O48" s="41">
        <v>0.22</v>
      </c>
    </row>
    <row r="49">
      <c r="N49" s="13" t="s">
        <v>467</v>
      </c>
      <c r="O49" s="41">
        <v>0.128</v>
      </c>
    </row>
    <row r="50">
      <c r="N50" s="13" t="s">
        <v>377</v>
      </c>
      <c r="O50" s="41">
        <v>0.152</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5.13"/>
    <col customWidth="1" min="13" max="13" width="53.13"/>
    <col customWidth="1" min="14" max="14" width="9.13"/>
  </cols>
  <sheetData>
    <row r="1">
      <c r="A1" s="28" t="s">
        <v>327</v>
      </c>
      <c r="N1" s="1" t="s">
        <v>457</v>
      </c>
      <c r="P1" s="28" t="s">
        <v>458</v>
      </c>
    </row>
    <row r="2">
      <c r="N2" s="41">
        <v>2995.7999999999997</v>
      </c>
      <c r="P2" s="1" t="s">
        <v>507</v>
      </c>
    </row>
    <row r="3">
      <c r="A3" s="1" t="s">
        <v>380</v>
      </c>
    </row>
    <row r="4">
      <c r="A4" s="44" t="s">
        <v>332</v>
      </c>
      <c r="B4" s="44" t="s">
        <v>333</v>
      </c>
      <c r="P4" s="13" t="s">
        <v>460</v>
      </c>
      <c r="Q4" s="41">
        <v>835.7999999999997</v>
      </c>
    </row>
    <row r="5">
      <c r="A5" s="11" t="s">
        <v>508</v>
      </c>
      <c r="B5" s="31">
        <v>960.0</v>
      </c>
      <c r="P5" s="13" t="s">
        <v>462</v>
      </c>
      <c r="Q5" s="41">
        <v>969.7999999999997</v>
      </c>
    </row>
    <row r="6">
      <c r="A6" s="11" t="s">
        <v>339</v>
      </c>
      <c r="B6" s="31">
        <v>406.0</v>
      </c>
      <c r="P6" s="13" t="s">
        <v>463</v>
      </c>
      <c r="Q6" s="41">
        <v>-10326.155999999999</v>
      </c>
    </row>
    <row r="7">
      <c r="A7" s="11" t="s">
        <v>341</v>
      </c>
      <c r="B7" s="31">
        <v>90.0</v>
      </c>
    </row>
    <row r="10">
      <c r="P10" s="43" t="s">
        <v>328</v>
      </c>
    </row>
    <row r="11">
      <c r="A11" s="1" t="s">
        <v>330</v>
      </c>
      <c r="P11" s="13" t="s">
        <v>329</v>
      </c>
      <c r="Q11" s="41">
        <v>2991.0</v>
      </c>
    </row>
    <row r="12">
      <c r="A12" s="44" t="s">
        <v>332</v>
      </c>
      <c r="B12" s="44" t="s">
        <v>333</v>
      </c>
      <c r="P12" s="13" t="s">
        <v>331</v>
      </c>
      <c r="Q12" s="41">
        <v>2314.0</v>
      </c>
    </row>
    <row r="13">
      <c r="A13" s="11" t="s">
        <v>509</v>
      </c>
      <c r="B13" s="31">
        <v>3688.0</v>
      </c>
      <c r="P13" s="13" t="s">
        <v>334</v>
      </c>
      <c r="Q13" s="41">
        <v>2628.0</v>
      </c>
    </row>
    <row r="14">
      <c r="A14" s="11" t="s">
        <v>339</v>
      </c>
      <c r="B14" s="31">
        <v>882.0</v>
      </c>
      <c r="P14" s="13" t="s">
        <v>336</v>
      </c>
      <c r="Q14" s="41">
        <v>3420.0</v>
      </c>
    </row>
    <row r="15">
      <c r="A15" s="11" t="s">
        <v>341</v>
      </c>
      <c r="B15" s="31">
        <v>94.0</v>
      </c>
      <c r="P15" s="13" t="s">
        <v>338</v>
      </c>
      <c r="Q15" s="41">
        <v>3019.0</v>
      </c>
    </row>
    <row r="16">
      <c r="P16" s="13" t="s">
        <v>340</v>
      </c>
      <c r="Q16" s="41">
        <v>3000.0</v>
      </c>
    </row>
    <row r="17">
      <c r="P17" s="13" t="s">
        <v>342</v>
      </c>
      <c r="Q17" s="41">
        <v>3785.0</v>
      </c>
    </row>
    <row r="18">
      <c r="P18" s="13" t="s">
        <v>343</v>
      </c>
      <c r="Q18" s="41">
        <v>1646.0</v>
      </c>
    </row>
    <row r="19">
      <c r="A19" s="28" t="s">
        <v>345</v>
      </c>
      <c r="P19" s="13" t="s">
        <v>464</v>
      </c>
      <c r="Q19" s="41">
        <v>569.0</v>
      </c>
    </row>
    <row r="21">
      <c r="A21" s="1" t="s">
        <v>347</v>
      </c>
    </row>
    <row r="22">
      <c r="A22" s="44" t="s">
        <v>332</v>
      </c>
      <c r="B22" s="44" t="s">
        <v>333</v>
      </c>
      <c r="P22" s="43" t="s">
        <v>346</v>
      </c>
    </row>
    <row r="23">
      <c r="A23" s="11" t="s">
        <v>508</v>
      </c>
      <c r="B23" s="31">
        <v>1064.0</v>
      </c>
      <c r="P23" s="13" t="s">
        <v>348</v>
      </c>
      <c r="Q23" s="41">
        <v>7408.0</v>
      </c>
    </row>
    <row r="24">
      <c r="A24" s="11" t="s">
        <v>339</v>
      </c>
      <c r="B24" s="31">
        <v>440.0</v>
      </c>
      <c r="P24" s="13" t="s">
        <v>349</v>
      </c>
      <c r="Q24" s="41">
        <v>185.0</v>
      </c>
    </row>
    <row r="25">
      <c r="A25" s="11" t="s">
        <v>341</v>
      </c>
      <c r="B25" s="31">
        <v>52.0</v>
      </c>
      <c r="P25" s="13" t="s">
        <v>351</v>
      </c>
      <c r="Q25" s="41">
        <v>224.0</v>
      </c>
    </row>
    <row r="26">
      <c r="P26" s="13" t="s">
        <v>352</v>
      </c>
      <c r="Q26" s="41">
        <v>0.0</v>
      </c>
    </row>
    <row r="27">
      <c r="P27" s="13" t="s">
        <v>353</v>
      </c>
      <c r="Q27" s="41">
        <v>403.0</v>
      </c>
    </row>
    <row r="28">
      <c r="P28" s="13" t="s">
        <v>354</v>
      </c>
      <c r="Q28" s="41">
        <v>2521.0</v>
      </c>
    </row>
    <row r="29">
      <c r="A29" s="1" t="s">
        <v>357</v>
      </c>
      <c r="P29" s="13" t="s">
        <v>355</v>
      </c>
      <c r="Q29" s="41">
        <v>1023.0</v>
      </c>
    </row>
    <row r="30">
      <c r="A30" s="44" t="s">
        <v>332</v>
      </c>
      <c r="B30" s="44" t="s">
        <v>333</v>
      </c>
      <c r="P30" s="13" t="s">
        <v>356</v>
      </c>
      <c r="Q30" s="41">
        <v>16.0</v>
      </c>
    </row>
    <row r="31">
      <c r="A31" s="11" t="s">
        <v>509</v>
      </c>
      <c r="B31" s="31">
        <v>3310.0</v>
      </c>
      <c r="P31" s="13" t="s">
        <v>358</v>
      </c>
      <c r="Q31" s="41">
        <v>31.0</v>
      </c>
    </row>
    <row r="32">
      <c r="A32" s="11" t="s">
        <v>510</v>
      </c>
      <c r="B32" s="31">
        <v>1470.0</v>
      </c>
      <c r="P32" s="13" t="s">
        <v>359</v>
      </c>
      <c r="Q32" s="41">
        <v>712.0</v>
      </c>
    </row>
    <row r="33">
      <c r="A33" s="11" t="s">
        <v>339</v>
      </c>
      <c r="B33" s="31">
        <v>432.0</v>
      </c>
      <c r="P33" s="13" t="s">
        <v>360</v>
      </c>
      <c r="Q33" s="41">
        <v>1.0</v>
      </c>
    </row>
    <row r="34">
      <c r="A34" s="11" t="s">
        <v>341</v>
      </c>
      <c r="B34" s="31">
        <v>110.0</v>
      </c>
      <c r="P34" s="13" t="s">
        <v>361</v>
      </c>
      <c r="Q34" s="41">
        <v>2026.0</v>
      </c>
    </row>
    <row r="35">
      <c r="P35" s="13" t="s">
        <v>363</v>
      </c>
      <c r="Q35" s="41">
        <v>41.0</v>
      </c>
    </row>
    <row r="36">
      <c r="P36" s="13" t="s">
        <v>364</v>
      </c>
      <c r="Q36" s="41">
        <v>597.0</v>
      </c>
    </row>
    <row r="37">
      <c r="P37" s="13" t="s">
        <v>365</v>
      </c>
      <c r="Q37" s="41">
        <v>345.0</v>
      </c>
    </row>
    <row r="38">
      <c r="P38" s="13" t="s">
        <v>366</v>
      </c>
      <c r="Q38" s="41">
        <v>86.0</v>
      </c>
    </row>
    <row r="39">
      <c r="P39" s="13" t="s">
        <v>367</v>
      </c>
      <c r="Q39" s="41">
        <v>343.0</v>
      </c>
    </row>
    <row r="40">
      <c r="P40" s="13" t="s">
        <v>368</v>
      </c>
      <c r="Q40" s="41">
        <v>1308.0</v>
      </c>
    </row>
    <row r="41">
      <c r="P41" s="13" t="s">
        <v>369</v>
      </c>
      <c r="Q41" s="41">
        <v>678.0</v>
      </c>
    </row>
    <row r="42">
      <c r="P42" s="13" t="s">
        <v>370</v>
      </c>
      <c r="Q42" s="41">
        <v>0.0</v>
      </c>
    </row>
    <row r="45">
      <c r="P45" s="43" t="s">
        <v>372</v>
      </c>
    </row>
    <row r="46">
      <c r="P46" s="13" t="s">
        <v>373</v>
      </c>
      <c r="Q46" s="41">
        <v>0.235</v>
      </c>
    </row>
    <row r="47">
      <c r="P47" s="13" t="s">
        <v>465</v>
      </c>
      <c r="Q47" s="41">
        <v>0.303</v>
      </c>
    </row>
    <row r="48">
      <c r="P48" s="13" t="s">
        <v>466</v>
      </c>
      <c r="Q48" s="41">
        <v>0.199</v>
      </c>
    </row>
    <row r="49">
      <c r="P49" s="13" t="s">
        <v>467</v>
      </c>
      <c r="Q49" s="41">
        <v>0.115</v>
      </c>
    </row>
    <row r="50">
      <c r="P50" s="13" t="s">
        <v>377</v>
      </c>
      <c r="Q50" s="41">
        <v>0.148</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2285.7</v>
      </c>
      <c r="P2" s="1" t="s">
        <v>511</v>
      </c>
    </row>
    <row r="3">
      <c r="A3" s="1" t="s">
        <v>330</v>
      </c>
    </row>
    <row r="4">
      <c r="A4" s="44" t="s">
        <v>332</v>
      </c>
      <c r="B4" s="44" t="s">
        <v>333</v>
      </c>
      <c r="P4" s="13" t="s">
        <v>460</v>
      </c>
      <c r="Q4" s="41">
        <v>1430.6999999999998</v>
      </c>
    </row>
    <row r="5">
      <c r="A5" s="11" t="s">
        <v>512</v>
      </c>
      <c r="B5" s="31">
        <v>2522.0</v>
      </c>
      <c r="P5" s="13" t="s">
        <v>462</v>
      </c>
      <c r="Q5" s="41">
        <v>1260.6999999999998</v>
      </c>
    </row>
    <row r="6">
      <c r="A6" s="11" t="s">
        <v>339</v>
      </c>
      <c r="B6" s="31">
        <v>555.0</v>
      </c>
      <c r="P6" s="13" t="s">
        <v>463</v>
      </c>
      <c r="Q6" s="41">
        <v>-11944.354</v>
      </c>
    </row>
    <row r="7">
      <c r="A7" s="11" t="s">
        <v>341</v>
      </c>
      <c r="B7" s="31">
        <v>100.0</v>
      </c>
    </row>
    <row r="10">
      <c r="P10" s="43" t="s">
        <v>328</v>
      </c>
    </row>
    <row r="11">
      <c r="A11" s="28" t="s">
        <v>345</v>
      </c>
      <c r="P11" s="13" t="s">
        <v>329</v>
      </c>
      <c r="Q11" s="41">
        <v>3167.0</v>
      </c>
    </row>
    <row r="12">
      <c r="P12" s="13" t="s">
        <v>331</v>
      </c>
      <c r="Q12" s="41">
        <v>2902.0</v>
      </c>
    </row>
    <row r="13">
      <c r="A13" s="1" t="s">
        <v>357</v>
      </c>
      <c r="P13" s="13" t="s">
        <v>334</v>
      </c>
      <c r="Q13" s="41">
        <v>2961.0</v>
      </c>
    </row>
    <row r="14">
      <c r="A14" s="44" t="s">
        <v>332</v>
      </c>
      <c r="B14" s="44" t="s">
        <v>333</v>
      </c>
      <c r="P14" s="13" t="s">
        <v>336</v>
      </c>
      <c r="Q14" s="41">
        <v>3976.0</v>
      </c>
    </row>
    <row r="15">
      <c r="A15" s="11" t="s">
        <v>513</v>
      </c>
      <c r="B15" s="31">
        <v>3052.0</v>
      </c>
      <c r="P15" s="13" t="s">
        <v>338</v>
      </c>
      <c r="Q15" s="41">
        <v>3467.0</v>
      </c>
    </row>
    <row r="16">
      <c r="A16" s="11" t="s">
        <v>514</v>
      </c>
      <c r="B16" s="31">
        <v>824.0</v>
      </c>
      <c r="P16" s="13" t="s">
        <v>340</v>
      </c>
      <c r="Q16" s="41">
        <v>3838.0</v>
      </c>
    </row>
    <row r="17">
      <c r="A17" s="11" t="s">
        <v>339</v>
      </c>
      <c r="B17" s="31">
        <v>384.0</v>
      </c>
      <c r="P17" s="13" t="s">
        <v>342</v>
      </c>
      <c r="Q17" s="41">
        <v>2751.0</v>
      </c>
    </row>
    <row r="18">
      <c r="A18" s="11" t="s">
        <v>341</v>
      </c>
      <c r="B18" s="31">
        <v>182.0</v>
      </c>
      <c r="P18" s="13" t="s">
        <v>343</v>
      </c>
      <c r="Q18" s="41">
        <v>2026.0</v>
      </c>
    </row>
    <row r="19">
      <c r="P19" s="13" t="s">
        <v>464</v>
      </c>
      <c r="Q19" s="41">
        <v>695.0</v>
      </c>
    </row>
    <row r="22">
      <c r="P22" s="43" t="s">
        <v>346</v>
      </c>
    </row>
    <row r="23">
      <c r="P23" s="13" t="s">
        <v>348</v>
      </c>
      <c r="Q23" s="41">
        <v>2948.0</v>
      </c>
    </row>
    <row r="24">
      <c r="P24" s="13" t="s">
        <v>349</v>
      </c>
      <c r="Q24" s="41">
        <v>247.0</v>
      </c>
    </row>
    <row r="25">
      <c r="P25" s="13" t="s">
        <v>351</v>
      </c>
      <c r="Q25" s="41">
        <v>34.0</v>
      </c>
    </row>
    <row r="26">
      <c r="P26" s="13" t="s">
        <v>352</v>
      </c>
      <c r="Q26" s="41">
        <v>36.0</v>
      </c>
    </row>
    <row r="27">
      <c r="P27" s="13" t="s">
        <v>353</v>
      </c>
      <c r="Q27" s="41">
        <v>89.0</v>
      </c>
    </row>
    <row r="28">
      <c r="P28" s="13" t="s">
        <v>354</v>
      </c>
      <c r="Q28" s="41">
        <v>11105.0</v>
      </c>
    </row>
    <row r="29">
      <c r="P29" s="13" t="s">
        <v>355</v>
      </c>
      <c r="Q29" s="41">
        <v>2572.0</v>
      </c>
    </row>
    <row r="30">
      <c r="P30" s="13" t="s">
        <v>356</v>
      </c>
      <c r="Q30" s="41">
        <v>105.0</v>
      </c>
    </row>
    <row r="31">
      <c r="P31" s="13" t="s">
        <v>358</v>
      </c>
      <c r="Q31" s="41">
        <v>104.0</v>
      </c>
    </row>
    <row r="32">
      <c r="P32" s="13" t="s">
        <v>359</v>
      </c>
      <c r="Q32" s="41">
        <v>1134.0</v>
      </c>
    </row>
    <row r="33">
      <c r="P33" s="13" t="s">
        <v>360</v>
      </c>
      <c r="Q33" s="41">
        <v>33.0</v>
      </c>
    </row>
    <row r="34">
      <c r="P34" s="13" t="s">
        <v>361</v>
      </c>
      <c r="Q34" s="41">
        <v>1025.0</v>
      </c>
    </row>
    <row r="35">
      <c r="P35" s="13" t="s">
        <v>363</v>
      </c>
      <c r="Q35" s="41">
        <v>59.0</v>
      </c>
    </row>
    <row r="36">
      <c r="P36" s="13" t="s">
        <v>364</v>
      </c>
      <c r="Q36" s="41">
        <v>1498.0</v>
      </c>
    </row>
    <row r="37">
      <c r="P37" s="13" t="s">
        <v>365</v>
      </c>
      <c r="Q37" s="41">
        <v>305.0</v>
      </c>
    </row>
    <row r="38">
      <c r="P38" s="13" t="s">
        <v>366</v>
      </c>
      <c r="Q38" s="41">
        <v>55.0</v>
      </c>
    </row>
    <row r="39">
      <c r="P39" s="13" t="s">
        <v>367</v>
      </c>
      <c r="Q39" s="41">
        <v>164.0</v>
      </c>
    </row>
    <row r="40">
      <c r="P40" s="13" t="s">
        <v>368</v>
      </c>
      <c r="Q40" s="41">
        <v>1195.0</v>
      </c>
    </row>
    <row r="41">
      <c r="P41" s="13" t="s">
        <v>369</v>
      </c>
      <c r="Q41" s="41">
        <v>129.0</v>
      </c>
    </row>
    <row r="42">
      <c r="P42" s="13" t="s">
        <v>370</v>
      </c>
      <c r="Q42" s="41">
        <v>0.0</v>
      </c>
    </row>
    <row r="45">
      <c r="P45" s="43" t="s">
        <v>372</v>
      </c>
    </row>
    <row r="46">
      <c r="P46" s="13" t="s">
        <v>373</v>
      </c>
      <c r="Q46" s="41">
        <v>0.23500000000000001</v>
      </c>
    </row>
    <row r="47">
      <c r="P47" s="13" t="s">
        <v>465</v>
      </c>
      <c r="Q47" s="41">
        <v>0.29200000000000004</v>
      </c>
    </row>
    <row r="48">
      <c r="P48" s="13" t="s">
        <v>466</v>
      </c>
      <c r="Q48" s="41">
        <v>0.205</v>
      </c>
    </row>
    <row r="49">
      <c r="P49" s="13" t="s">
        <v>467</v>
      </c>
      <c r="Q49" s="41">
        <v>0.117</v>
      </c>
    </row>
    <row r="50">
      <c r="P50" s="13" t="s">
        <v>377</v>
      </c>
      <c r="Q50" s="41">
        <v>0.151</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3" max="10" width="12.63"/>
    <col customWidth="1" min="11" max="11" width="7.63"/>
    <col customWidth="1" min="12" max="12" width="64.88"/>
    <col customWidth="1" min="13" max="13" width="15.13"/>
    <col customWidth="1" min="14" max="14" width="49.63"/>
    <col customWidth="1" min="15" max="15" width="50.75"/>
    <col customWidth="1" min="16" max="20" width="12.63"/>
  </cols>
  <sheetData>
    <row r="1">
      <c r="A1" s="28" t="s">
        <v>327</v>
      </c>
      <c r="K1" s="1"/>
      <c r="M1" s="28" t="s">
        <v>457</v>
      </c>
      <c r="N1" s="46" t="s">
        <v>458</v>
      </c>
      <c r="O1" s="47"/>
    </row>
    <row r="2">
      <c r="K2" s="41"/>
      <c r="M2" s="1">
        <v>3290.4</v>
      </c>
      <c r="N2" s="46" t="s">
        <v>515</v>
      </c>
      <c r="O2" s="47"/>
    </row>
    <row r="3">
      <c r="A3" s="1" t="s">
        <v>330</v>
      </c>
      <c r="N3" s="47"/>
      <c r="O3" s="47"/>
    </row>
    <row r="4">
      <c r="A4" s="44" t="s">
        <v>332</v>
      </c>
      <c r="B4" s="44" t="s">
        <v>333</v>
      </c>
      <c r="M4" s="13"/>
      <c r="N4" s="48" t="s">
        <v>460</v>
      </c>
      <c r="O4" s="48">
        <v>139.4000000000001</v>
      </c>
    </row>
    <row r="5">
      <c r="A5" s="11" t="s">
        <v>516</v>
      </c>
      <c r="B5" s="31">
        <v>3451.0</v>
      </c>
      <c r="M5" s="13"/>
      <c r="N5" s="48" t="s">
        <v>462</v>
      </c>
      <c r="O5" s="48">
        <v>891.4000000000001</v>
      </c>
    </row>
    <row r="6">
      <c r="A6" s="11" t="s">
        <v>517</v>
      </c>
      <c r="B6" s="31">
        <v>816.0</v>
      </c>
      <c r="M6" s="13"/>
      <c r="N6" s="48" t="s">
        <v>463</v>
      </c>
      <c r="O6" s="48">
        <v>-9779.03</v>
      </c>
    </row>
    <row r="7">
      <c r="A7" s="11" t="s">
        <v>339</v>
      </c>
      <c r="B7" s="31">
        <v>457.0</v>
      </c>
      <c r="N7" s="47"/>
      <c r="O7" s="47"/>
    </row>
    <row r="8">
      <c r="A8" s="11" t="s">
        <v>341</v>
      </c>
      <c r="B8" s="31">
        <v>154.0</v>
      </c>
      <c r="N8" s="47"/>
      <c r="O8" s="47"/>
    </row>
    <row r="9">
      <c r="N9" s="47"/>
      <c r="O9" s="47"/>
    </row>
    <row r="10">
      <c r="M10" s="43"/>
      <c r="N10" s="46" t="s">
        <v>328</v>
      </c>
      <c r="O10" s="47"/>
    </row>
    <row r="11">
      <c r="M11" s="13"/>
      <c r="N11" s="48" t="s">
        <v>329</v>
      </c>
      <c r="O11" s="48">
        <v>3947.0</v>
      </c>
    </row>
    <row r="12">
      <c r="A12" s="28" t="s">
        <v>345</v>
      </c>
      <c r="M12" s="13"/>
      <c r="N12" s="48" t="s">
        <v>331</v>
      </c>
      <c r="O12" s="48">
        <v>2820.0</v>
      </c>
    </row>
    <row r="13">
      <c r="M13" s="13"/>
      <c r="N13" s="48" t="s">
        <v>334</v>
      </c>
      <c r="O13" s="48">
        <v>2500.0</v>
      </c>
    </row>
    <row r="14">
      <c r="A14" s="1" t="s">
        <v>357</v>
      </c>
      <c r="M14" s="13"/>
      <c r="N14" s="48" t="s">
        <v>336</v>
      </c>
      <c r="O14" s="48">
        <v>3556.0</v>
      </c>
    </row>
    <row r="15">
      <c r="A15" s="44" t="s">
        <v>332</v>
      </c>
      <c r="B15" s="44" t="s">
        <v>333</v>
      </c>
      <c r="M15" s="13"/>
      <c r="N15" s="48" t="s">
        <v>338</v>
      </c>
      <c r="O15" s="48">
        <v>3115.0</v>
      </c>
    </row>
    <row r="16">
      <c r="A16" s="11" t="s">
        <v>518</v>
      </c>
      <c r="B16" s="31">
        <v>5021.0</v>
      </c>
      <c r="M16" s="13"/>
      <c r="N16" s="48" t="s">
        <v>340</v>
      </c>
      <c r="O16" s="48">
        <v>3798.0</v>
      </c>
    </row>
    <row r="17">
      <c r="A17" s="11" t="s">
        <v>339</v>
      </c>
      <c r="B17" s="31">
        <v>910.0</v>
      </c>
      <c r="M17" s="13"/>
      <c r="N17" s="48" t="s">
        <v>342</v>
      </c>
      <c r="O17" s="48">
        <v>3449.0</v>
      </c>
    </row>
    <row r="18">
      <c r="A18" s="11" t="s">
        <v>341</v>
      </c>
      <c r="B18" s="31">
        <v>159.0</v>
      </c>
      <c r="M18" s="13"/>
      <c r="N18" s="48" t="s">
        <v>343</v>
      </c>
      <c r="O18" s="48">
        <v>1333.0</v>
      </c>
    </row>
    <row r="19">
      <c r="M19" s="13"/>
      <c r="N19" s="48" t="s">
        <v>464</v>
      </c>
      <c r="O19" s="48">
        <v>530.0</v>
      </c>
    </row>
    <row r="20">
      <c r="N20" s="47"/>
      <c r="O20" s="47"/>
    </row>
    <row r="21">
      <c r="N21" s="47"/>
      <c r="O21" s="47"/>
    </row>
    <row r="22">
      <c r="M22" s="43"/>
      <c r="N22" s="46" t="s">
        <v>346</v>
      </c>
      <c r="O22" s="47"/>
    </row>
    <row r="23">
      <c r="M23" s="13"/>
      <c r="N23" s="48" t="s">
        <v>348</v>
      </c>
      <c r="O23" s="48">
        <v>4847.0</v>
      </c>
    </row>
    <row r="24">
      <c r="M24" s="13"/>
      <c r="N24" s="48" t="s">
        <v>349</v>
      </c>
      <c r="O24" s="48">
        <v>365.0</v>
      </c>
    </row>
    <row r="25">
      <c r="M25" s="13"/>
      <c r="N25" s="48" t="s">
        <v>351</v>
      </c>
      <c r="O25" s="48">
        <v>29.0</v>
      </c>
    </row>
    <row r="26">
      <c r="M26" s="13"/>
      <c r="N26" s="48" t="s">
        <v>352</v>
      </c>
      <c r="O26" s="48">
        <v>0.0</v>
      </c>
    </row>
    <row r="27">
      <c r="M27" s="13"/>
      <c r="N27" s="48" t="s">
        <v>353</v>
      </c>
      <c r="O27" s="48">
        <v>368.0</v>
      </c>
    </row>
    <row r="28">
      <c r="M28" s="13"/>
      <c r="N28" s="48" t="s">
        <v>354</v>
      </c>
      <c r="O28" s="48">
        <v>4881.0</v>
      </c>
    </row>
    <row r="29">
      <c r="M29" s="13"/>
      <c r="N29" s="48" t="s">
        <v>355</v>
      </c>
      <c r="O29" s="48">
        <v>2889.0</v>
      </c>
    </row>
    <row r="30">
      <c r="M30" s="13"/>
      <c r="N30" s="48" t="s">
        <v>356</v>
      </c>
      <c r="O30" s="48">
        <v>299.0</v>
      </c>
    </row>
    <row r="31">
      <c r="M31" s="13"/>
      <c r="N31" s="48" t="s">
        <v>358</v>
      </c>
      <c r="O31" s="48">
        <v>218.0</v>
      </c>
    </row>
    <row r="32">
      <c r="M32" s="13"/>
      <c r="N32" s="48" t="s">
        <v>359</v>
      </c>
      <c r="O32" s="48">
        <v>1219.0</v>
      </c>
    </row>
    <row r="33">
      <c r="M33" s="13"/>
      <c r="N33" s="48" t="s">
        <v>360</v>
      </c>
      <c r="O33" s="48">
        <v>0.0</v>
      </c>
    </row>
    <row r="34">
      <c r="M34" s="13"/>
      <c r="N34" s="48" t="s">
        <v>361</v>
      </c>
      <c r="O34" s="48">
        <v>2399.0</v>
      </c>
    </row>
    <row r="35">
      <c r="M35" s="13"/>
      <c r="N35" s="48" t="s">
        <v>363</v>
      </c>
      <c r="O35" s="48">
        <v>76.0</v>
      </c>
    </row>
    <row r="36">
      <c r="M36" s="13"/>
      <c r="N36" s="48" t="s">
        <v>364</v>
      </c>
      <c r="O36" s="48">
        <v>444.0</v>
      </c>
    </row>
    <row r="37">
      <c r="M37" s="13"/>
      <c r="N37" s="48" t="s">
        <v>365</v>
      </c>
      <c r="O37" s="48">
        <v>282.0</v>
      </c>
    </row>
    <row r="38">
      <c r="M38" s="13"/>
      <c r="N38" s="48" t="s">
        <v>366</v>
      </c>
      <c r="O38" s="48">
        <v>62.0</v>
      </c>
    </row>
    <row r="39">
      <c r="M39" s="13"/>
      <c r="N39" s="48" t="s">
        <v>367</v>
      </c>
      <c r="O39" s="48">
        <v>40.0</v>
      </c>
    </row>
    <row r="40">
      <c r="M40" s="13"/>
      <c r="N40" s="48" t="s">
        <v>368</v>
      </c>
      <c r="O40" s="48">
        <v>1367.0</v>
      </c>
    </row>
    <row r="41">
      <c r="M41" s="13"/>
      <c r="N41" s="48" t="s">
        <v>369</v>
      </c>
      <c r="O41" s="48">
        <v>395.0</v>
      </c>
    </row>
    <row r="42">
      <c r="M42" s="13"/>
      <c r="N42" s="48" t="s">
        <v>370</v>
      </c>
      <c r="O42" s="48">
        <v>20.0</v>
      </c>
    </row>
    <row r="43">
      <c r="N43" s="47"/>
      <c r="O43" s="47"/>
    </row>
    <row r="44">
      <c r="N44" s="47"/>
      <c r="O44" s="47"/>
    </row>
    <row r="45">
      <c r="M45" s="43"/>
      <c r="N45" s="46" t="s">
        <v>372</v>
      </c>
      <c r="O45" s="47"/>
    </row>
    <row r="46">
      <c r="M46" s="13"/>
      <c r="N46" s="48" t="s">
        <v>373</v>
      </c>
      <c r="O46" s="48">
        <v>0.241</v>
      </c>
    </row>
    <row r="47">
      <c r="M47" s="13"/>
      <c r="N47" s="48" t="s">
        <v>465</v>
      </c>
      <c r="O47" s="48">
        <v>0.252</v>
      </c>
    </row>
    <row r="48">
      <c r="M48" s="13"/>
      <c r="N48" s="48" t="s">
        <v>466</v>
      </c>
      <c r="O48" s="48">
        <v>0.213</v>
      </c>
    </row>
    <row r="49">
      <c r="M49" s="13"/>
      <c r="N49" s="48" t="s">
        <v>467</v>
      </c>
      <c r="O49" s="48">
        <v>0.135</v>
      </c>
    </row>
    <row r="50">
      <c r="M50" s="13"/>
      <c r="N50" s="48" t="s">
        <v>377</v>
      </c>
      <c r="O50" s="48">
        <v>0.158</v>
      </c>
    </row>
    <row r="51">
      <c r="N51" s="47"/>
      <c r="O51" s="47"/>
    </row>
    <row r="52">
      <c r="N52" s="47"/>
      <c r="O52" s="47"/>
    </row>
    <row r="53">
      <c r="N53" s="47"/>
      <c r="O53" s="47"/>
    </row>
    <row r="54">
      <c r="N54" s="47"/>
      <c r="O54" s="47"/>
    </row>
    <row r="55">
      <c r="N55" s="47"/>
      <c r="O55" s="47"/>
    </row>
    <row r="56">
      <c r="N56" s="47"/>
      <c r="O56" s="47"/>
    </row>
    <row r="57">
      <c r="N57" s="47"/>
      <c r="O57" s="47"/>
    </row>
    <row r="58">
      <c r="N58" s="47"/>
      <c r="O58" s="47"/>
    </row>
    <row r="59">
      <c r="N59" s="47"/>
      <c r="O59" s="47"/>
    </row>
    <row r="60">
      <c r="N60" s="47"/>
      <c r="O60" s="47"/>
    </row>
    <row r="61">
      <c r="N61" s="47"/>
      <c r="O61" s="47"/>
    </row>
    <row r="62">
      <c r="N62" s="47"/>
      <c r="O62" s="47"/>
    </row>
    <row r="63">
      <c r="N63" s="47"/>
      <c r="O63" s="47"/>
    </row>
    <row r="64">
      <c r="N64" s="47"/>
      <c r="O64" s="47"/>
    </row>
    <row r="65">
      <c r="N65" s="47"/>
      <c r="O65" s="47"/>
    </row>
    <row r="66">
      <c r="N66" s="47"/>
      <c r="O66" s="47"/>
    </row>
    <row r="67">
      <c r="N67" s="47"/>
      <c r="O67" s="47"/>
    </row>
    <row r="68">
      <c r="N68" s="47"/>
      <c r="O68" s="47"/>
    </row>
    <row r="69">
      <c r="N69" s="47"/>
      <c r="O69" s="47"/>
    </row>
    <row r="70">
      <c r="N70" s="47"/>
      <c r="O70" s="47"/>
    </row>
    <row r="71">
      <c r="N71" s="47"/>
      <c r="O71" s="47"/>
    </row>
    <row r="72">
      <c r="N72" s="47"/>
      <c r="O72" s="47"/>
    </row>
    <row r="73">
      <c r="N73" s="47"/>
      <c r="O73" s="47"/>
    </row>
    <row r="74">
      <c r="N74" s="47"/>
      <c r="O74" s="47"/>
    </row>
    <row r="75">
      <c r="N75" s="47"/>
      <c r="O75" s="47"/>
    </row>
    <row r="76">
      <c r="N76" s="47"/>
      <c r="O76" s="47"/>
    </row>
    <row r="77">
      <c r="N77" s="47"/>
      <c r="O77" s="47"/>
    </row>
    <row r="78">
      <c r="N78" s="47"/>
      <c r="O78" s="47"/>
    </row>
    <row r="79">
      <c r="N79" s="47"/>
      <c r="O79" s="47"/>
    </row>
    <row r="80">
      <c r="N80" s="47"/>
      <c r="O80" s="47"/>
    </row>
    <row r="81">
      <c r="N81" s="47"/>
      <c r="O81" s="47"/>
    </row>
    <row r="82">
      <c r="N82" s="47"/>
      <c r="O82" s="47"/>
    </row>
    <row r="83">
      <c r="N83" s="47"/>
      <c r="O83" s="47"/>
    </row>
    <row r="84">
      <c r="N84" s="47"/>
      <c r="O84" s="47"/>
    </row>
    <row r="85">
      <c r="N85" s="47"/>
      <c r="O85" s="47"/>
    </row>
    <row r="86">
      <c r="N86" s="47"/>
      <c r="O86" s="47"/>
    </row>
    <row r="87">
      <c r="N87" s="47"/>
      <c r="O87" s="47"/>
    </row>
    <row r="88">
      <c r="N88" s="47"/>
      <c r="O88" s="47"/>
    </row>
    <row r="89">
      <c r="N89" s="47"/>
      <c r="O89" s="47"/>
    </row>
    <row r="90">
      <c r="N90" s="47"/>
      <c r="O90" s="47"/>
    </row>
    <row r="91">
      <c r="N91" s="47"/>
      <c r="O91" s="47"/>
    </row>
    <row r="92">
      <c r="N92" s="47"/>
      <c r="O92" s="47"/>
    </row>
    <row r="93">
      <c r="N93" s="47"/>
      <c r="O93" s="47"/>
    </row>
    <row r="94">
      <c r="N94" s="47"/>
      <c r="O94" s="47"/>
    </row>
    <row r="95">
      <c r="N95" s="47"/>
      <c r="O95" s="47"/>
    </row>
    <row r="96">
      <c r="N96" s="47"/>
      <c r="O96" s="47"/>
    </row>
    <row r="97">
      <c r="N97" s="47"/>
      <c r="O97" s="47"/>
    </row>
    <row r="98">
      <c r="N98" s="47"/>
      <c r="O98" s="47"/>
    </row>
    <row r="99">
      <c r="N99" s="47"/>
      <c r="O99" s="47"/>
    </row>
    <row r="100">
      <c r="N100" s="47"/>
      <c r="O100" s="47"/>
    </row>
    <row r="101">
      <c r="N101" s="47"/>
      <c r="O101" s="47"/>
    </row>
    <row r="102">
      <c r="N102" s="47"/>
      <c r="O102" s="47"/>
    </row>
    <row r="103">
      <c r="N103" s="47"/>
      <c r="O103" s="47"/>
    </row>
    <row r="104">
      <c r="N104" s="47"/>
      <c r="O104" s="47"/>
    </row>
    <row r="105">
      <c r="N105" s="47"/>
      <c r="O105" s="47"/>
    </row>
    <row r="106">
      <c r="N106" s="47"/>
      <c r="O106" s="47"/>
    </row>
    <row r="107">
      <c r="N107" s="47"/>
      <c r="O107" s="47"/>
    </row>
    <row r="108">
      <c r="N108" s="47"/>
      <c r="O108" s="47"/>
    </row>
    <row r="109">
      <c r="N109" s="47"/>
      <c r="O109" s="47"/>
    </row>
    <row r="110">
      <c r="N110" s="47"/>
      <c r="O110" s="47"/>
    </row>
    <row r="111">
      <c r="N111" s="47"/>
      <c r="O111" s="47"/>
    </row>
    <row r="112">
      <c r="N112" s="47"/>
      <c r="O112" s="47"/>
    </row>
    <row r="113">
      <c r="N113" s="47"/>
      <c r="O113" s="47"/>
    </row>
    <row r="114">
      <c r="N114" s="47"/>
      <c r="O114" s="47"/>
    </row>
    <row r="115">
      <c r="N115" s="47"/>
      <c r="O115" s="47"/>
    </row>
    <row r="116">
      <c r="N116" s="47"/>
      <c r="O116" s="47"/>
    </row>
    <row r="117">
      <c r="N117" s="47"/>
      <c r="O117" s="47"/>
    </row>
    <row r="118">
      <c r="N118" s="47"/>
      <c r="O118" s="47"/>
    </row>
    <row r="119">
      <c r="N119" s="47"/>
      <c r="O119" s="47"/>
    </row>
    <row r="120">
      <c r="N120" s="47"/>
      <c r="O120" s="47"/>
    </row>
    <row r="121">
      <c r="N121" s="47"/>
      <c r="O121" s="47"/>
    </row>
    <row r="122">
      <c r="N122" s="47"/>
      <c r="O122" s="47"/>
    </row>
    <row r="123">
      <c r="N123" s="47"/>
      <c r="O123" s="47"/>
    </row>
    <row r="124">
      <c r="N124" s="47"/>
      <c r="O124" s="47"/>
    </row>
    <row r="125">
      <c r="N125" s="47"/>
      <c r="O125" s="47"/>
    </row>
    <row r="126">
      <c r="N126" s="47"/>
      <c r="O126" s="47"/>
    </row>
    <row r="127">
      <c r="N127" s="47"/>
      <c r="O127" s="47"/>
    </row>
    <row r="128">
      <c r="N128" s="47"/>
      <c r="O128" s="47"/>
    </row>
    <row r="129">
      <c r="N129" s="47"/>
      <c r="O129" s="47"/>
    </row>
    <row r="130">
      <c r="N130" s="47"/>
      <c r="O130" s="47"/>
    </row>
    <row r="131">
      <c r="N131" s="47"/>
      <c r="O131" s="47"/>
    </row>
    <row r="132">
      <c r="N132" s="47"/>
      <c r="O132" s="47"/>
    </row>
    <row r="133">
      <c r="N133" s="47"/>
      <c r="O133" s="47"/>
    </row>
    <row r="134">
      <c r="N134" s="47"/>
      <c r="O134" s="47"/>
    </row>
    <row r="135">
      <c r="N135" s="47"/>
      <c r="O135" s="47"/>
    </row>
    <row r="136">
      <c r="N136" s="47"/>
      <c r="O136" s="47"/>
    </row>
    <row r="137">
      <c r="N137" s="47"/>
      <c r="O137" s="47"/>
    </row>
    <row r="138">
      <c r="N138" s="47"/>
      <c r="O138" s="47"/>
    </row>
    <row r="139">
      <c r="N139" s="47"/>
      <c r="O139" s="47"/>
    </row>
    <row r="140">
      <c r="N140" s="47"/>
      <c r="O140" s="47"/>
    </row>
    <row r="141">
      <c r="N141" s="47"/>
      <c r="O141" s="47"/>
    </row>
    <row r="142">
      <c r="N142" s="47"/>
      <c r="O142" s="47"/>
    </row>
    <row r="143">
      <c r="N143" s="47"/>
      <c r="O143" s="47"/>
    </row>
    <row r="144">
      <c r="N144" s="47"/>
      <c r="O144" s="47"/>
    </row>
    <row r="145">
      <c r="N145" s="47"/>
      <c r="O145" s="47"/>
    </row>
    <row r="146">
      <c r="N146" s="47"/>
      <c r="O146" s="47"/>
    </row>
    <row r="147">
      <c r="N147" s="47"/>
      <c r="O147" s="47"/>
    </row>
    <row r="148">
      <c r="N148" s="47"/>
      <c r="O148" s="47"/>
    </row>
    <row r="149">
      <c r="N149" s="47"/>
      <c r="O149" s="47"/>
    </row>
    <row r="150">
      <c r="N150" s="47"/>
      <c r="O150" s="47"/>
    </row>
    <row r="151">
      <c r="N151" s="47"/>
      <c r="O151" s="47"/>
    </row>
    <row r="152">
      <c r="N152" s="47"/>
      <c r="O152" s="47"/>
    </row>
    <row r="153">
      <c r="N153" s="47"/>
      <c r="O153" s="47"/>
    </row>
    <row r="154">
      <c r="N154" s="47"/>
      <c r="O154" s="47"/>
    </row>
    <row r="155">
      <c r="N155" s="47"/>
      <c r="O155" s="47"/>
    </row>
    <row r="156">
      <c r="N156" s="47"/>
      <c r="O156" s="47"/>
    </row>
    <row r="157">
      <c r="N157" s="47"/>
      <c r="O157" s="47"/>
    </row>
    <row r="158">
      <c r="N158" s="47"/>
      <c r="O158" s="47"/>
    </row>
    <row r="159">
      <c r="N159" s="47"/>
      <c r="O159" s="47"/>
    </row>
    <row r="160">
      <c r="N160" s="47"/>
      <c r="O160" s="47"/>
    </row>
    <row r="161">
      <c r="N161" s="47"/>
      <c r="O161" s="47"/>
    </row>
    <row r="162">
      <c r="N162" s="47"/>
      <c r="O162" s="47"/>
    </row>
    <row r="163">
      <c r="N163" s="47"/>
      <c r="O163" s="47"/>
    </row>
    <row r="164">
      <c r="N164" s="47"/>
      <c r="O164" s="47"/>
    </row>
    <row r="165">
      <c r="N165" s="47"/>
      <c r="O165" s="47"/>
    </row>
    <row r="166">
      <c r="N166" s="47"/>
      <c r="O166" s="47"/>
    </row>
    <row r="167">
      <c r="N167" s="47"/>
      <c r="O167" s="47"/>
    </row>
    <row r="168">
      <c r="N168" s="47"/>
      <c r="O168" s="47"/>
    </row>
    <row r="169">
      <c r="N169" s="47"/>
      <c r="O169" s="47"/>
    </row>
    <row r="170">
      <c r="N170" s="47"/>
      <c r="O170" s="47"/>
    </row>
    <row r="171">
      <c r="N171" s="47"/>
      <c r="O171" s="47"/>
    </row>
    <row r="172">
      <c r="N172" s="47"/>
      <c r="O172" s="47"/>
    </row>
    <row r="173">
      <c r="N173" s="47"/>
      <c r="O173" s="47"/>
    </row>
    <row r="174">
      <c r="N174" s="47"/>
      <c r="O174" s="47"/>
    </row>
    <row r="175">
      <c r="N175" s="47"/>
      <c r="O175" s="47"/>
    </row>
    <row r="176">
      <c r="N176" s="47"/>
      <c r="O176" s="47"/>
    </row>
    <row r="177">
      <c r="N177" s="47"/>
      <c r="O177" s="47"/>
    </row>
    <row r="178">
      <c r="N178" s="47"/>
      <c r="O178" s="47"/>
    </row>
    <row r="179">
      <c r="N179" s="47"/>
      <c r="O179" s="47"/>
    </row>
    <row r="180">
      <c r="N180" s="47"/>
      <c r="O180" s="47"/>
    </row>
    <row r="181">
      <c r="N181" s="47"/>
      <c r="O181" s="47"/>
    </row>
    <row r="182">
      <c r="N182" s="47"/>
      <c r="O182" s="47"/>
    </row>
    <row r="183">
      <c r="N183" s="47"/>
      <c r="O183" s="47"/>
    </row>
    <row r="184">
      <c r="N184" s="47"/>
      <c r="O184" s="47"/>
    </row>
    <row r="185">
      <c r="N185" s="47"/>
      <c r="O185" s="47"/>
    </row>
    <row r="186">
      <c r="N186" s="47"/>
      <c r="O186" s="47"/>
    </row>
    <row r="187">
      <c r="N187" s="47"/>
      <c r="O187" s="47"/>
    </row>
    <row r="188">
      <c r="N188" s="47"/>
      <c r="O188" s="47"/>
    </row>
    <row r="189">
      <c r="N189" s="47"/>
      <c r="O189" s="47"/>
    </row>
    <row r="190">
      <c r="N190" s="47"/>
      <c r="O190" s="47"/>
    </row>
    <row r="191">
      <c r="N191" s="47"/>
      <c r="O191" s="47"/>
    </row>
    <row r="192">
      <c r="N192" s="47"/>
      <c r="O192" s="47"/>
    </row>
    <row r="193">
      <c r="N193" s="47"/>
      <c r="O193" s="47"/>
    </row>
    <row r="194">
      <c r="N194" s="47"/>
      <c r="O194" s="47"/>
    </row>
    <row r="195">
      <c r="N195" s="47"/>
      <c r="O195" s="47"/>
    </row>
    <row r="196">
      <c r="N196" s="47"/>
      <c r="O196" s="47"/>
    </row>
    <row r="197">
      <c r="N197" s="47"/>
      <c r="O197" s="47"/>
    </row>
    <row r="198">
      <c r="N198" s="47"/>
      <c r="O198" s="47"/>
    </row>
    <row r="199">
      <c r="N199" s="47"/>
      <c r="O199" s="47"/>
    </row>
    <row r="200">
      <c r="N200" s="47"/>
      <c r="O200" s="47"/>
    </row>
    <row r="201">
      <c r="N201" s="47"/>
      <c r="O201" s="47"/>
    </row>
    <row r="202">
      <c r="N202" s="47"/>
      <c r="O202" s="47"/>
    </row>
    <row r="203">
      <c r="N203" s="47"/>
      <c r="O203" s="47"/>
    </row>
    <row r="204">
      <c r="N204" s="47"/>
      <c r="O204" s="47"/>
    </row>
    <row r="205">
      <c r="N205" s="47"/>
      <c r="O205" s="47"/>
    </row>
    <row r="206">
      <c r="N206" s="47"/>
      <c r="O206" s="47"/>
    </row>
    <row r="207">
      <c r="N207" s="47"/>
      <c r="O207" s="47"/>
    </row>
    <row r="208">
      <c r="N208" s="47"/>
      <c r="O208" s="47"/>
    </row>
    <row r="209">
      <c r="N209" s="47"/>
      <c r="O209" s="47"/>
    </row>
    <row r="210">
      <c r="N210" s="47"/>
      <c r="O210" s="47"/>
    </row>
    <row r="211">
      <c r="N211" s="47"/>
      <c r="O211" s="47"/>
    </row>
    <row r="212">
      <c r="N212" s="47"/>
      <c r="O212" s="47"/>
    </row>
    <row r="213">
      <c r="N213" s="47"/>
      <c r="O213" s="47"/>
    </row>
    <row r="214">
      <c r="N214" s="47"/>
      <c r="O214" s="47"/>
    </row>
    <row r="215">
      <c r="N215" s="47"/>
      <c r="O215" s="47"/>
    </row>
    <row r="216">
      <c r="N216" s="47"/>
      <c r="O216" s="47"/>
    </row>
    <row r="217">
      <c r="N217" s="47"/>
      <c r="O217" s="47"/>
    </row>
    <row r="218">
      <c r="N218" s="47"/>
      <c r="O218" s="47"/>
    </row>
    <row r="219">
      <c r="N219" s="47"/>
      <c r="O219" s="47"/>
    </row>
    <row r="220">
      <c r="N220" s="47"/>
      <c r="O220" s="47"/>
    </row>
    <row r="221">
      <c r="N221" s="47"/>
      <c r="O221" s="47"/>
    </row>
    <row r="222">
      <c r="N222" s="47"/>
      <c r="O222" s="47"/>
    </row>
    <row r="223">
      <c r="N223" s="47"/>
      <c r="O223" s="47"/>
    </row>
    <row r="224">
      <c r="N224" s="47"/>
      <c r="O224" s="47"/>
    </row>
    <row r="225">
      <c r="N225" s="47"/>
      <c r="O225" s="47"/>
    </row>
    <row r="226">
      <c r="N226" s="47"/>
      <c r="O226" s="47"/>
    </row>
    <row r="227">
      <c r="N227" s="47"/>
      <c r="O227" s="47"/>
    </row>
    <row r="228">
      <c r="N228" s="47"/>
      <c r="O228" s="47"/>
    </row>
    <row r="229">
      <c r="N229" s="47"/>
      <c r="O229" s="47"/>
    </row>
    <row r="230">
      <c r="N230" s="47"/>
      <c r="O230" s="47"/>
    </row>
    <row r="231">
      <c r="N231" s="47"/>
      <c r="O231" s="47"/>
    </row>
    <row r="232">
      <c r="N232" s="47"/>
      <c r="O232" s="47"/>
    </row>
    <row r="233">
      <c r="N233" s="47"/>
      <c r="O233" s="47"/>
    </row>
    <row r="234">
      <c r="N234" s="47"/>
      <c r="O234" s="47"/>
    </row>
    <row r="235">
      <c r="N235" s="47"/>
      <c r="O235" s="47"/>
    </row>
    <row r="236">
      <c r="N236" s="47"/>
      <c r="O236" s="47"/>
    </row>
    <row r="237">
      <c r="N237" s="47"/>
      <c r="O237" s="47"/>
    </row>
    <row r="238">
      <c r="N238" s="47"/>
      <c r="O238" s="47"/>
    </row>
    <row r="239">
      <c r="N239" s="47"/>
      <c r="O239" s="47"/>
    </row>
    <row r="240">
      <c r="N240" s="47"/>
      <c r="O240" s="47"/>
    </row>
    <row r="241">
      <c r="N241" s="47"/>
      <c r="O241" s="47"/>
    </row>
    <row r="242">
      <c r="N242" s="47"/>
      <c r="O242" s="47"/>
    </row>
    <row r="243">
      <c r="N243" s="47"/>
      <c r="O243" s="47"/>
    </row>
    <row r="244">
      <c r="N244" s="47"/>
      <c r="O244" s="47"/>
    </row>
    <row r="245">
      <c r="N245" s="47"/>
      <c r="O245" s="47"/>
    </row>
    <row r="246">
      <c r="N246" s="47"/>
      <c r="O246" s="47"/>
    </row>
    <row r="247">
      <c r="N247" s="47"/>
      <c r="O247" s="47"/>
    </row>
    <row r="248">
      <c r="N248" s="47"/>
      <c r="O248" s="47"/>
    </row>
    <row r="249">
      <c r="N249" s="47"/>
      <c r="O249" s="47"/>
    </row>
    <row r="250">
      <c r="N250" s="47"/>
      <c r="O250" s="47"/>
    </row>
    <row r="251">
      <c r="N251" s="47"/>
      <c r="O251" s="47"/>
    </row>
    <row r="252">
      <c r="N252" s="47"/>
      <c r="O252" s="47"/>
    </row>
    <row r="253">
      <c r="N253" s="47"/>
      <c r="O253" s="47"/>
    </row>
    <row r="254">
      <c r="N254" s="47"/>
      <c r="O254" s="47"/>
    </row>
    <row r="255">
      <c r="N255" s="47"/>
      <c r="O255" s="47"/>
    </row>
    <row r="256">
      <c r="N256" s="47"/>
      <c r="O256" s="47"/>
    </row>
    <row r="257">
      <c r="N257" s="47"/>
      <c r="O257" s="47"/>
    </row>
    <row r="258">
      <c r="N258" s="47"/>
      <c r="O258" s="47"/>
    </row>
    <row r="259">
      <c r="N259" s="47"/>
      <c r="O259" s="47"/>
    </row>
    <row r="260">
      <c r="N260" s="47"/>
      <c r="O260" s="47"/>
    </row>
    <row r="261">
      <c r="N261" s="47"/>
      <c r="O261" s="47"/>
    </row>
    <row r="262">
      <c r="N262" s="47"/>
      <c r="O262" s="47"/>
    </row>
    <row r="263">
      <c r="N263" s="47"/>
      <c r="O263" s="47"/>
    </row>
    <row r="264">
      <c r="N264" s="47"/>
      <c r="O264" s="47"/>
    </row>
    <row r="265">
      <c r="N265" s="47"/>
      <c r="O265" s="47"/>
    </row>
    <row r="266">
      <c r="N266" s="47"/>
      <c r="O266" s="47"/>
    </row>
    <row r="267">
      <c r="N267" s="47"/>
      <c r="O267" s="47"/>
    </row>
    <row r="268">
      <c r="N268" s="47"/>
      <c r="O268" s="47"/>
    </row>
    <row r="269">
      <c r="N269" s="47"/>
      <c r="O269" s="47"/>
    </row>
    <row r="270">
      <c r="N270" s="47"/>
      <c r="O270" s="47"/>
    </row>
    <row r="271">
      <c r="N271" s="47"/>
      <c r="O271" s="47"/>
    </row>
    <row r="272">
      <c r="N272" s="47"/>
      <c r="O272" s="47"/>
    </row>
    <row r="273">
      <c r="N273" s="47"/>
      <c r="O273" s="47"/>
    </row>
    <row r="274">
      <c r="N274" s="47"/>
      <c r="O274" s="47"/>
    </row>
    <row r="275">
      <c r="N275" s="47"/>
      <c r="O275" s="47"/>
    </row>
    <row r="276">
      <c r="N276" s="47"/>
      <c r="O276" s="47"/>
    </row>
    <row r="277">
      <c r="N277" s="47"/>
      <c r="O277" s="47"/>
    </row>
    <row r="278">
      <c r="N278" s="47"/>
      <c r="O278" s="47"/>
    </row>
    <row r="279">
      <c r="N279" s="47"/>
      <c r="O279" s="47"/>
    </row>
    <row r="280">
      <c r="N280" s="47"/>
      <c r="O280" s="47"/>
    </row>
    <row r="281">
      <c r="N281" s="47"/>
      <c r="O281" s="47"/>
    </row>
    <row r="282">
      <c r="N282" s="47"/>
      <c r="O282" s="47"/>
    </row>
    <row r="283">
      <c r="N283" s="47"/>
      <c r="O283" s="47"/>
    </row>
    <row r="284">
      <c r="N284" s="47"/>
      <c r="O284" s="47"/>
    </row>
    <row r="285">
      <c r="N285" s="47"/>
      <c r="O285" s="47"/>
    </row>
    <row r="286">
      <c r="N286" s="47"/>
      <c r="O286" s="47"/>
    </row>
    <row r="287">
      <c r="N287" s="47"/>
      <c r="O287" s="47"/>
    </row>
    <row r="288">
      <c r="N288" s="47"/>
      <c r="O288" s="47"/>
    </row>
    <row r="289">
      <c r="N289" s="47"/>
      <c r="O289" s="47"/>
    </row>
    <row r="290">
      <c r="N290" s="47"/>
      <c r="O290" s="47"/>
    </row>
    <row r="291">
      <c r="N291" s="47"/>
      <c r="O291" s="47"/>
    </row>
    <row r="292">
      <c r="N292" s="47"/>
      <c r="O292" s="47"/>
    </row>
    <row r="293">
      <c r="N293" s="47"/>
      <c r="O293" s="47"/>
    </row>
    <row r="294">
      <c r="N294" s="47"/>
      <c r="O294" s="47"/>
    </row>
    <row r="295">
      <c r="N295" s="47"/>
      <c r="O295" s="47"/>
    </row>
    <row r="296">
      <c r="N296" s="47"/>
      <c r="O296" s="47"/>
    </row>
    <row r="297">
      <c r="N297" s="47"/>
      <c r="O297" s="47"/>
    </row>
    <row r="298">
      <c r="N298" s="47"/>
      <c r="O298" s="47"/>
    </row>
    <row r="299">
      <c r="N299" s="47"/>
      <c r="O299" s="47"/>
    </row>
    <row r="300">
      <c r="N300" s="47"/>
      <c r="O300" s="47"/>
    </row>
    <row r="301">
      <c r="N301" s="47"/>
      <c r="O301" s="47"/>
    </row>
    <row r="302">
      <c r="N302" s="47"/>
      <c r="O302" s="47"/>
    </row>
    <row r="303">
      <c r="N303" s="47"/>
      <c r="O303" s="47"/>
    </row>
    <row r="304">
      <c r="N304" s="47"/>
      <c r="O304" s="47"/>
    </row>
    <row r="305">
      <c r="N305" s="47"/>
      <c r="O305" s="47"/>
    </row>
    <row r="306">
      <c r="N306" s="47"/>
      <c r="O306" s="47"/>
    </row>
    <row r="307">
      <c r="N307" s="47"/>
      <c r="O307" s="47"/>
    </row>
    <row r="308">
      <c r="N308" s="47"/>
      <c r="O308" s="47"/>
    </row>
    <row r="309">
      <c r="N309" s="47"/>
      <c r="O309" s="47"/>
    </row>
    <row r="310">
      <c r="N310" s="47"/>
      <c r="O310" s="47"/>
    </row>
    <row r="311">
      <c r="N311" s="47"/>
      <c r="O311" s="47"/>
    </row>
    <row r="312">
      <c r="N312" s="47"/>
      <c r="O312" s="47"/>
    </row>
    <row r="313">
      <c r="N313" s="47"/>
      <c r="O313" s="47"/>
    </row>
    <row r="314">
      <c r="N314" s="47"/>
      <c r="O314" s="47"/>
    </row>
    <row r="315">
      <c r="N315" s="47"/>
      <c r="O315" s="47"/>
    </row>
    <row r="316">
      <c r="N316" s="47"/>
      <c r="O316" s="47"/>
    </row>
    <row r="317">
      <c r="N317" s="47"/>
      <c r="O317" s="47"/>
    </row>
    <row r="318">
      <c r="N318" s="47"/>
      <c r="O318" s="47"/>
    </row>
    <row r="319">
      <c r="N319" s="47"/>
      <c r="O319" s="47"/>
    </row>
    <row r="320">
      <c r="N320" s="47"/>
      <c r="O320" s="47"/>
    </row>
    <row r="321">
      <c r="N321" s="47"/>
      <c r="O321" s="47"/>
    </row>
    <row r="322">
      <c r="N322" s="47"/>
      <c r="O322" s="47"/>
    </row>
    <row r="323">
      <c r="N323" s="47"/>
      <c r="O323" s="47"/>
    </row>
    <row r="324">
      <c r="N324" s="47"/>
      <c r="O324" s="47"/>
    </row>
    <row r="325">
      <c r="N325" s="47"/>
      <c r="O325" s="47"/>
    </row>
    <row r="326">
      <c r="N326" s="47"/>
      <c r="O326" s="47"/>
    </row>
    <row r="327">
      <c r="N327" s="47"/>
      <c r="O327" s="47"/>
    </row>
    <row r="328">
      <c r="N328" s="47"/>
      <c r="O328" s="47"/>
    </row>
    <row r="329">
      <c r="N329" s="47"/>
      <c r="O329" s="47"/>
    </row>
    <row r="330">
      <c r="N330" s="47"/>
      <c r="O330" s="47"/>
    </row>
    <row r="331">
      <c r="N331" s="47"/>
      <c r="O331" s="47"/>
    </row>
    <row r="332">
      <c r="N332" s="47"/>
      <c r="O332" s="47"/>
    </row>
    <row r="333">
      <c r="N333" s="47"/>
      <c r="O333" s="47"/>
    </row>
    <row r="334">
      <c r="N334" s="47"/>
      <c r="O334" s="47"/>
    </row>
    <row r="335">
      <c r="N335" s="47"/>
      <c r="O335" s="47"/>
    </row>
    <row r="336">
      <c r="N336" s="47"/>
      <c r="O336" s="47"/>
    </row>
    <row r="337">
      <c r="N337" s="47"/>
      <c r="O337" s="47"/>
    </row>
    <row r="338">
      <c r="N338" s="47"/>
      <c r="O338" s="47"/>
    </row>
    <row r="339">
      <c r="N339" s="47"/>
      <c r="O339" s="47"/>
    </row>
    <row r="340">
      <c r="N340" s="47"/>
      <c r="O340" s="47"/>
    </row>
    <row r="341">
      <c r="N341" s="47"/>
      <c r="O341" s="47"/>
    </row>
    <row r="342">
      <c r="N342" s="47"/>
      <c r="O342" s="47"/>
    </row>
    <row r="343">
      <c r="N343" s="47"/>
      <c r="O343" s="47"/>
    </row>
    <row r="344">
      <c r="N344" s="47"/>
      <c r="O344" s="47"/>
    </row>
    <row r="345">
      <c r="N345" s="47"/>
      <c r="O345" s="47"/>
    </row>
    <row r="346">
      <c r="N346" s="47"/>
      <c r="O346" s="47"/>
    </row>
    <row r="347">
      <c r="N347" s="47"/>
      <c r="O347" s="47"/>
    </row>
    <row r="348">
      <c r="N348" s="47"/>
      <c r="O348" s="47"/>
    </row>
    <row r="349">
      <c r="N349" s="47"/>
      <c r="O349" s="47"/>
    </row>
    <row r="350">
      <c r="N350" s="47"/>
      <c r="O350" s="47"/>
    </row>
    <row r="351">
      <c r="N351" s="47"/>
      <c r="O351" s="47"/>
    </row>
    <row r="352">
      <c r="N352" s="47"/>
      <c r="O352" s="47"/>
    </row>
    <row r="353">
      <c r="N353" s="47"/>
      <c r="O353" s="47"/>
    </row>
    <row r="354">
      <c r="N354" s="47"/>
      <c r="O354" s="47"/>
    </row>
    <row r="355">
      <c r="N355" s="47"/>
      <c r="O355" s="47"/>
    </row>
    <row r="356">
      <c r="N356" s="47"/>
      <c r="O356" s="47"/>
    </row>
    <row r="357">
      <c r="N357" s="47"/>
      <c r="O357" s="47"/>
    </row>
    <row r="358">
      <c r="N358" s="47"/>
      <c r="O358" s="47"/>
    </row>
    <row r="359">
      <c r="N359" s="47"/>
      <c r="O359" s="47"/>
    </row>
    <row r="360">
      <c r="N360" s="47"/>
      <c r="O360" s="47"/>
    </row>
    <row r="361">
      <c r="N361" s="47"/>
      <c r="O361" s="47"/>
    </row>
    <row r="362">
      <c r="N362" s="47"/>
      <c r="O362" s="47"/>
    </row>
    <row r="363">
      <c r="N363" s="47"/>
      <c r="O363" s="47"/>
    </row>
    <row r="364">
      <c r="N364" s="47"/>
      <c r="O364" s="47"/>
    </row>
    <row r="365">
      <c r="N365" s="47"/>
      <c r="O365" s="47"/>
    </row>
    <row r="366">
      <c r="N366" s="47"/>
      <c r="O366" s="47"/>
    </row>
    <row r="367">
      <c r="N367" s="47"/>
      <c r="O367" s="47"/>
    </row>
    <row r="368">
      <c r="N368" s="47"/>
      <c r="O368" s="47"/>
    </row>
    <row r="369">
      <c r="N369" s="47"/>
      <c r="O369" s="47"/>
    </row>
    <row r="370">
      <c r="N370" s="47"/>
      <c r="O370" s="47"/>
    </row>
    <row r="371">
      <c r="N371" s="47"/>
      <c r="O371" s="47"/>
    </row>
    <row r="372">
      <c r="N372" s="47"/>
      <c r="O372" s="47"/>
    </row>
    <row r="373">
      <c r="N373" s="47"/>
      <c r="O373" s="47"/>
    </row>
    <row r="374">
      <c r="N374" s="47"/>
      <c r="O374" s="47"/>
    </row>
    <row r="375">
      <c r="N375" s="47"/>
      <c r="O375" s="47"/>
    </row>
    <row r="376">
      <c r="N376" s="47"/>
      <c r="O376" s="47"/>
    </row>
    <row r="377">
      <c r="N377" s="47"/>
      <c r="O377" s="47"/>
    </row>
    <row r="378">
      <c r="N378" s="47"/>
      <c r="O378" s="47"/>
    </row>
    <row r="379">
      <c r="N379" s="47"/>
      <c r="O379" s="47"/>
    </row>
    <row r="380">
      <c r="N380" s="47"/>
      <c r="O380" s="47"/>
    </row>
    <row r="381">
      <c r="N381" s="47"/>
      <c r="O381" s="47"/>
    </row>
    <row r="382">
      <c r="N382" s="47"/>
      <c r="O382" s="47"/>
    </row>
    <row r="383">
      <c r="N383" s="47"/>
      <c r="O383" s="47"/>
    </row>
    <row r="384">
      <c r="N384" s="47"/>
      <c r="O384" s="47"/>
    </row>
    <row r="385">
      <c r="N385" s="47"/>
      <c r="O385" s="47"/>
    </row>
    <row r="386">
      <c r="N386" s="47"/>
      <c r="O386" s="47"/>
    </row>
    <row r="387">
      <c r="N387" s="47"/>
      <c r="O387" s="47"/>
    </row>
    <row r="388">
      <c r="N388" s="47"/>
      <c r="O388" s="47"/>
    </row>
    <row r="389">
      <c r="N389" s="47"/>
      <c r="O389" s="47"/>
    </row>
    <row r="390">
      <c r="N390" s="47"/>
      <c r="O390" s="47"/>
    </row>
    <row r="391">
      <c r="N391" s="47"/>
      <c r="O391" s="47"/>
    </row>
    <row r="392">
      <c r="N392" s="47"/>
      <c r="O392" s="47"/>
    </row>
    <row r="393">
      <c r="N393" s="47"/>
      <c r="O393" s="47"/>
    </row>
    <row r="394">
      <c r="N394" s="47"/>
      <c r="O394" s="47"/>
    </row>
    <row r="395">
      <c r="N395" s="47"/>
      <c r="O395" s="47"/>
    </row>
    <row r="396">
      <c r="N396" s="47"/>
      <c r="O396" s="47"/>
    </row>
    <row r="397">
      <c r="N397" s="47"/>
      <c r="O397" s="47"/>
    </row>
    <row r="398">
      <c r="N398" s="47"/>
      <c r="O398" s="47"/>
    </row>
    <row r="399">
      <c r="N399" s="47"/>
      <c r="O399" s="47"/>
    </row>
    <row r="400">
      <c r="N400" s="47"/>
      <c r="O400" s="47"/>
    </row>
    <row r="401">
      <c r="N401" s="47"/>
      <c r="O401" s="47"/>
    </row>
    <row r="402">
      <c r="N402" s="47"/>
      <c r="O402" s="47"/>
    </row>
    <row r="403">
      <c r="N403" s="47"/>
      <c r="O403" s="47"/>
    </row>
    <row r="404">
      <c r="N404" s="47"/>
      <c r="O404" s="47"/>
    </row>
    <row r="405">
      <c r="N405" s="47"/>
      <c r="O405" s="47"/>
    </row>
    <row r="406">
      <c r="N406" s="47"/>
      <c r="O406" s="47"/>
    </row>
    <row r="407">
      <c r="N407" s="47"/>
      <c r="O407" s="47"/>
    </row>
    <row r="408">
      <c r="N408" s="47"/>
      <c r="O408" s="47"/>
    </row>
    <row r="409">
      <c r="N409" s="47"/>
      <c r="O409" s="47"/>
    </row>
    <row r="410">
      <c r="N410" s="47"/>
      <c r="O410" s="47"/>
    </row>
    <row r="411">
      <c r="N411" s="47"/>
      <c r="O411" s="47"/>
    </row>
    <row r="412">
      <c r="N412" s="47"/>
      <c r="O412" s="47"/>
    </row>
    <row r="413">
      <c r="N413" s="47"/>
      <c r="O413" s="47"/>
    </row>
    <row r="414">
      <c r="N414" s="47"/>
      <c r="O414" s="47"/>
    </row>
    <row r="415">
      <c r="N415" s="47"/>
      <c r="O415" s="47"/>
    </row>
    <row r="416">
      <c r="N416" s="47"/>
      <c r="O416" s="47"/>
    </row>
    <row r="417">
      <c r="N417" s="47"/>
      <c r="O417" s="47"/>
    </row>
    <row r="418">
      <c r="N418" s="47"/>
      <c r="O418" s="47"/>
    </row>
    <row r="419">
      <c r="N419" s="47"/>
      <c r="O419" s="47"/>
    </row>
    <row r="420">
      <c r="N420" s="47"/>
      <c r="O420" s="47"/>
    </row>
    <row r="421">
      <c r="N421" s="47"/>
      <c r="O421" s="47"/>
    </row>
    <row r="422">
      <c r="N422" s="47"/>
      <c r="O422" s="47"/>
    </row>
    <row r="423">
      <c r="N423" s="47"/>
      <c r="O423" s="47"/>
    </row>
    <row r="424">
      <c r="N424" s="47"/>
      <c r="O424" s="47"/>
    </row>
    <row r="425">
      <c r="N425" s="47"/>
      <c r="O425" s="47"/>
    </row>
    <row r="426">
      <c r="N426" s="47"/>
      <c r="O426" s="47"/>
    </row>
    <row r="427">
      <c r="N427" s="47"/>
      <c r="O427" s="47"/>
    </row>
    <row r="428">
      <c r="N428" s="47"/>
      <c r="O428" s="47"/>
    </row>
    <row r="429">
      <c r="N429" s="47"/>
      <c r="O429" s="47"/>
    </row>
    <row r="430">
      <c r="N430" s="47"/>
      <c r="O430" s="47"/>
    </row>
    <row r="431">
      <c r="N431" s="47"/>
      <c r="O431" s="47"/>
    </row>
    <row r="432">
      <c r="N432" s="47"/>
      <c r="O432" s="47"/>
    </row>
    <row r="433">
      <c r="N433" s="47"/>
      <c r="O433" s="47"/>
    </row>
    <row r="434">
      <c r="N434" s="47"/>
      <c r="O434" s="47"/>
    </row>
    <row r="435">
      <c r="N435" s="47"/>
      <c r="O435" s="47"/>
    </row>
    <row r="436">
      <c r="N436" s="47"/>
      <c r="O436" s="47"/>
    </row>
    <row r="437">
      <c r="N437" s="47"/>
      <c r="O437" s="47"/>
    </row>
    <row r="438">
      <c r="N438" s="47"/>
      <c r="O438" s="47"/>
    </row>
    <row r="439">
      <c r="N439" s="47"/>
      <c r="O439" s="47"/>
    </row>
    <row r="440">
      <c r="N440" s="47"/>
      <c r="O440" s="47"/>
    </row>
    <row r="441">
      <c r="N441" s="47"/>
      <c r="O441" s="47"/>
    </row>
    <row r="442">
      <c r="N442" s="47"/>
      <c r="O442" s="47"/>
    </row>
    <row r="443">
      <c r="N443" s="47"/>
      <c r="O443" s="47"/>
    </row>
    <row r="444">
      <c r="N444" s="47"/>
      <c r="O444" s="47"/>
    </row>
    <row r="445">
      <c r="N445" s="47"/>
      <c r="O445" s="47"/>
    </row>
    <row r="446">
      <c r="N446" s="47"/>
      <c r="O446" s="47"/>
    </row>
    <row r="447">
      <c r="N447" s="47"/>
      <c r="O447" s="47"/>
    </row>
    <row r="448">
      <c r="N448" s="47"/>
      <c r="O448" s="47"/>
    </row>
    <row r="449">
      <c r="N449" s="47"/>
      <c r="O449" s="47"/>
    </row>
    <row r="450">
      <c r="N450" s="47"/>
      <c r="O450" s="47"/>
    </row>
    <row r="451">
      <c r="N451" s="47"/>
      <c r="O451" s="47"/>
    </row>
    <row r="452">
      <c r="N452" s="47"/>
      <c r="O452" s="47"/>
    </row>
    <row r="453">
      <c r="N453" s="47"/>
      <c r="O453" s="47"/>
    </row>
    <row r="454">
      <c r="N454" s="47"/>
      <c r="O454" s="47"/>
    </row>
    <row r="455">
      <c r="N455" s="47"/>
      <c r="O455" s="47"/>
    </row>
    <row r="456">
      <c r="N456" s="47"/>
      <c r="O456" s="47"/>
    </row>
    <row r="457">
      <c r="N457" s="47"/>
      <c r="O457" s="47"/>
    </row>
    <row r="458">
      <c r="N458" s="47"/>
      <c r="O458" s="47"/>
    </row>
    <row r="459">
      <c r="N459" s="47"/>
      <c r="O459" s="47"/>
    </row>
    <row r="460">
      <c r="N460" s="47"/>
      <c r="O460" s="47"/>
    </row>
    <row r="461">
      <c r="N461" s="47"/>
      <c r="O461" s="47"/>
    </row>
    <row r="462">
      <c r="N462" s="47"/>
      <c r="O462" s="47"/>
    </row>
    <row r="463">
      <c r="N463" s="47"/>
      <c r="O463" s="47"/>
    </row>
    <row r="464">
      <c r="N464" s="47"/>
      <c r="O464" s="47"/>
    </row>
    <row r="465">
      <c r="N465" s="47"/>
      <c r="O465" s="47"/>
    </row>
    <row r="466">
      <c r="N466" s="47"/>
      <c r="O466" s="47"/>
    </row>
    <row r="467">
      <c r="N467" s="47"/>
      <c r="O467" s="47"/>
    </row>
    <row r="468">
      <c r="N468" s="47"/>
      <c r="O468" s="47"/>
    </row>
    <row r="469">
      <c r="N469" s="47"/>
      <c r="O469" s="47"/>
    </row>
    <row r="470">
      <c r="N470" s="47"/>
      <c r="O470" s="47"/>
    </row>
    <row r="471">
      <c r="N471" s="47"/>
      <c r="O471" s="47"/>
    </row>
    <row r="472">
      <c r="N472" s="47"/>
      <c r="O472" s="47"/>
    </row>
    <row r="473">
      <c r="N473" s="47"/>
      <c r="O473" s="47"/>
    </row>
    <row r="474">
      <c r="N474" s="47"/>
      <c r="O474" s="47"/>
    </row>
    <row r="475">
      <c r="N475" s="47"/>
      <c r="O475" s="47"/>
    </row>
    <row r="476">
      <c r="N476" s="47"/>
      <c r="O476" s="47"/>
    </row>
    <row r="477">
      <c r="N477" s="47"/>
      <c r="O477" s="47"/>
    </row>
    <row r="478">
      <c r="N478" s="47"/>
      <c r="O478" s="47"/>
    </row>
    <row r="479">
      <c r="N479" s="47"/>
      <c r="O479" s="47"/>
    </row>
    <row r="480">
      <c r="N480" s="47"/>
      <c r="O480" s="47"/>
    </row>
    <row r="481">
      <c r="N481" s="47"/>
      <c r="O481" s="47"/>
    </row>
    <row r="482">
      <c r="N482" s="47"/>
      <c r="O482" s="47"/>
    </row>
    <row r="483">
      <c r="N483" s="47"/>
      <c r="O483" s="47"/>
    </row>
    <row r="484">
      <c r="N484" s="47"/>
      <c r="O484" s="47"/>
    </row>
    <row r="485">
      <c r="N485" s="47"/>
      <c r="O485" s="47"/>
    </row>
    <row r="486">
      <c r="N486" s="47"/>
      <c r="O486" s="47"/>
    </row>
    <row r="487">
      <c r="N487" s="47"/>
      <c r="O487" s="47"/>
    </row>
    <row r="488">
      <c r="N488" s="47"/>
      <c r="O488" s="47"/>
    </row>
    <row r="489">
      <c r="N489" s="47"/>
      <c r="O489" s="47"/>
    </row>
    <row r="490">
      <c r="N490" s="47"/>
      <c r="O490" s="47"/>
    </row>
    <row r="491">
      <c r="N491" s="47"/>
      <c r="O491" s="47"/>
    </row>
    <row r="492">
      <c r="N492" s="47"/>
      <c r="O492" s="47"/>
    </row>
    <row r="493">
      <c r="N493" s="47"/>
      <c r="O493" s="47"/>
    </row>
    <row r="494">
      <c r="N494" s="47"/>
      <c r="O494" s="47"/>
    </row>
    <row r="495">
      <c r="N495" s="47"/>
      <c r="O495" s="47"/>
    </row>
    <row r="496">
      <c r="N496" s="47"/>
      <c r="O496" s="47"/>
    </row>
    <row r="497">
      <c r="N497" s="47"/>
      <c r="O497" s="47"/>
    </row>
    <row r="498">
      <c r="N498" s="47"/>
      <c r="O498" s="47"/>
    </row>
    <row r="499">
      <c r="N499" s="47"/>
      <c r="O499" s="47"/>
    </row>
    <row r="500">
      <c r="N500" s="47"/>
      <c r="O500" s="47"/>
    </row>
    <row r="501">
      <c r="N501" s="47"/>
      <c r="O501" s="47"/>
    </row>
    <row r="502">
      <c r="N502" s="47"/>
      <c r="O502" s="47"/>
    </row>
    <row r="503">
      <c r="N503" s="47"/>
      <c r="O503" s="47"/>
    </row>
    <row r="504">
      <c r="N504" s="47"/>
      <c r="O504" s="47"/>
    </row>
    <row r="505">
      <c r="N505" s="47"/>
      <c r="O505" s="47"/>
    </row>
    <row r="506">
      <c r="N506" s="47"/>
      <c r="O506" s="47"/>
    </row>
    <row r="507">
      <c r="N507" s="47"/>
      <c r="O507" s="47"/>
    </row>
    <row r="508">
      <c r="N508" s="47"/>
      <c r="O508" s="47"/>
    </row>
    <row r="509">
      <c r="N509" s="47"/>
      <c r="O509" s="47"/>
    </row>
    <row r="510">
      <c r="N510" s="47"/>
      <c r="O510" s="47"/>
    </row>
    <row r="511">
      <c r="N511" s="47"/>
      <c r="O511" s="47"/>
    </row>
    <row r="512">
      <c r="N512" s="47"/>
      <c r="O512" s="47"/>
    </row>
    <row r="513">
      <c r="N513" s="47"/>
      <c r="O513" s="47"/>
    </row>
    <row r="514">
      <c r="N514" s="47"/>
      <c r="O514" s="47"/>
    </row>
    <row r="515">
      <c r="N515" s="47"/>
      <c r="O515" s="47"/>
    </row>
    <row r="516">
      <c r="N516" s="47"/>
      <c r="O516" s="47"/>
    </row>
    <row r="517">
      <c r="N517" s="47"/>
      <c r="O517" s="47"/>
    </row>
    <row r="518">
      <c r="N518" s="47"/>
      <c r="O518" s="47"/>
    </row>
    <row r="519">
      <c r="N519" s="47"/>
      <c r="O519" s="47"/>
    </row>
    <row r="520">
      <c r="N520" s="47"/>
      <c r="O520" s="47"/>
    </row>
    <row r="521">
      <c r="N521" s="47"/>
      <c r="O521" s="47"/>
    </row>
    <row r="522">
      <c r="N522" s="47"/>
      <c r="O522" s="47"/>
    </row>
    <row r="523">
      <c r="N523" s="47"/>
      <c r="O523" s="47"/>
    </row>
    <row r="524">
      <c r="N524" s="47"/>
      <c r="O524" s="47"/>
    </row>
    <row r="525">
      <c r="N525" s="47"/>
      <c r="O525" s="47"/>
    </row>
    <row r="526">
      <c r="N526" s="47"/>
      <c r="O526" s="47"/>
    </row>
    <row r="527">
      <c r="N527" s="47"/>
      <c r="O527" s="47"/>
    </row>
    <row r="528">
      <c r="N528" s="47"/>
      <c r="O528" s="47"/>
    </row>
    <row r="529">
      <c r="N529" s="47"/>
      <c r="O529" s="47"/>
    </row>
    <row r="530">
      <c r="N530" s="47"/>
      <c r="O530" s="47"/>
    </row>
    <row r="531">
      <c r="N531" s="47"/>
      <c r="O531" s="47"/>
    </row>
    <row r="532">
      <c r="N532" s="47"/>
      <c r="O532" s="47"/>
    </row>
    <row r="533">
      <c r="N533" s="47"/>
      <c r="O533" s="47"/>
    </row>
    <row r="534">
      <c r="N534" s="47"/>
      <c r="O534" s="47"/>
    </row>
    <row r="535">
      <c r="N535" s="47"/>
      <c r="O535" s="47"/>
    </row>
    <row r="536">
      <c r="N536" s="47"/>
      <c r="O536" s="47"/>
    </row>
    <row r="537">
      <c r="N537" s="47"/>
      <c r="O537" s="47"/>
    </row>
    <row r="538">
      <c r="N538" s="47"/>
      <c r="O538" s="47"/>
    </row>
    <row r="539">
      <c r="N539" s="47"/>
      <c r="O539" s="47"/>
    </row>
    <row r="540">
      <c r="N540" s="47"/>
      <c r="O540" s="47"/>
    </row>
    <row r="541">
      <c r="N541" s="47"/>
      <c r="O541" s="47"/>
    </row>
    <row r="542">
      <c r="N542" s="47"/>
      <c r="O542" s="47"/>
    </row>
    <row r="543">
      <c r="N543" s="47"/>
      <c r="O543" s="47"/>
    </row>
    <row r="544">
      <c r="N544" s="47"/>
      <c r="O544" s="47"/>
    </row>
    <row r="545">
      <c r="N545" s="47"/>
      <c r="O545" s="47"/>
    </row>
    <row r="546">
      <c r="N546" s="47"/>
      <c r="O546" s="47"/>
    </row>
    <row r="547">
      <c r="N547" s="47"/>
      <c r="O547" s="47"/>
    </row>
    <row r="548">
      <c r="N548" s="47"/>
      <c r="O548" s="47"/>
    </row>
    <row r="549">
      <c r="N549" s="47"/>
      <c r="O549" s="47"/>
    </row>
    <row r="550">
      <c r="N550" s="47"/>
      <c r="O550" s="47"/>
    </row>
    <row r="551">
      <c r="N551" s="47"/>
      <c r="O551" s="47"/>
    </row>
    <row r="552">
      <c r="N552" s="47"/>
      <c r="O552" s="47"/>
    </row>
    <row r="553">
      <c r="N553" s="47"/>
      <c r="O553" s="47"/>
    </row>
    <row r="554">
      <c r="N554" s="47"/>
      <c r="O554" s="47"/>
    </row>
    <row r="555">
      <c r="N555" s="47"/>
      <c r="O555" s="47"/>
    </row>
    <row r="556">
      <c r="N556" s="47"/>
      <c r="O556" s="47"/>
    </row>
    <row r="557">
      <c r="N557" s="47"/>
      <c r="O557" s="47"/>
    </row>
    <row r="558">
      <c r="N558" s="47"/>
      <c r="O558" s="47"/>
    </row>
    <row r="559">
      <c r="N559" s="47"/>
      <c r="O559" s="47"/>
    </row>
    <row r="560">
      <c r="N560" s="47"/>
      <c r="O560" s="47"/>
    </row>
    <row r="561">
      <c r="N561" s="47"/>
      <c r="O561" s="47"/>
    </row>
    <row r="562">
      <c r="N562" s="47"/>
      <c r="O562" s="47"/>
    </row>
    <row r="563">
      <c r="N563" s="47"/>
      <c r="O563" s="47"/>
    </row>
    <row r="564">
      <c r="N564" s="47"/>
      <c r="O564" s="47"/>
    </row>
    <row r="565">
      <c r="N565" s="47"/>
      <c r="O565" s="47"/>
    </row>
    <row r="566">
      <c r="N566" s="47"/>
      <c r="O566" s="47"/>
    </row>
    <row r="567">
      <c r="N567" s="47"/>
      <c r="O567" s="47"/>
    </row>
    <row r="568">
      <c r="N568" s="47"/>
      <c r="O568" s="47"/>
    </row>
    <row r="569">
      <c r="N569" s="47"/>
      <c r="O569" s="47"/>
    </row>
    <row r="570">
      <c r="N570" s="47"/>
      <c r="O570" s="47"/>
    </row>
    <row r="571">
      <c r="N571" s="47"/>
      <c r="O571" s="47"/>
    </row>
    <row r="572">
      <c r="N572" s="47"/>
      <c r="O572" s="47"/>
    </row>
    <row r="573">
      <c r="N573" s="47"/>
      <c r="O573" s="47"/>
    </row>
    <row r="574">
      <c r="N574" s="47"/>
      <c r="O574" s="47"/>
    </row>
    <row r="575">
      <c r="N575" s="47"/>
      <c r="O575" s="47"/>
    </row>
    <row r="576">
      <c r="N576" s="47"/>
      <c r="O576" s="47"/>
    </row>
    <row r="577">
      <c r="N577" s="47"/>
      <c r="O577" s="47"/>
    </row>
    <row r="578">
      <c r="N578" s="47"/>
      <c r="O578" s="47"/>
    </row>
    <row r="579">
      <c r="N579" s="47"/>
      <c r="O579" s="47"/>
    </row>
    <row r="580">
      <c r="N580" s="47"/>
      <c r="O580" s="47"/>
    </row>
    <row r="581">
      <c r="N581" s="47"/>
      <c r="O581" s="47"/>
    </row>
    <row r="582">
      <c r="N582" s="47"/>
      <c r="O582" s="47"/>
    </row>
    <row r="583">
      <c r="N583" s="47"/>
      <c r="O583" s="47"/>
    </row>
    <row r="584">
      <c r="N584" s="47"/>
      <c r="O584" s="47"/>
    </row>
    <row r="585">
      <c r="N585" s="47"/>
      <c r="O585" s="47"/>
    </row>
    <row r="586">
      <c r="N586" s="47"/>
      <c r="O586" s="47"/>
    </row>
    <row r="587">
      <c r="N587" s="47"/>
      <c r="O587" s="47"/>
    </row>
    <row r="588">
      <c r="N588" s="47"/>
      <c r="O588" s="47"/>
    </row>
    <row r="589">
      <c r="N589" s="47"/>
      <c r="O589" s="47"/>
    </row>
    <row r="590">
      <c r="N590" s="47"/>
      <c r="O590" s="47"/>
    </row>
    <row r="591">
      <c r="N591" s="47"/>
      <c r="O591" s="47"/>
    </row>
    <row r="592">
      <c r="N592" s="47"/>
      <c r="O592" s="47"/>
    </row>
    <row r="593">
      <c r="N593" s="47"/>
      <c r="O593" s="47"/>
    </row>
    <row r="594">
      <c r="N594" s="47"/>
      <c r="O594" s="47"/>
    </row>
    <row r="595">
      <c r="N595" s="47"/>
      <c r="O595" s="47"/>
    </row>
    <row r="596">
      <c r="N596" s="47"/>
      <c r="O596" s="47"/>
    </row>
    <row r="597">
      <c r="N597" s="47"/>
      <c r="O597" s="47"/>
    </row>
    <row r="598">
      <c r="N598" s="47"/>
      <c r="O598" s="47"/>
    </row>
    <row r="599">
      <c r="N599" s="47"/>
      <c r="O599" s="47"/>
    </row>
    <row r="600">
      <c r="N600" s="47"/>
      <c r="O600" s="47"/>
    </row>
    <row r="601">
      <c r="N601" s="47"/>
      <c r="O601" s="47"/>
    </row>
    <row r="602">
      <c r="N602" s="47"/>
      <c r="O602" s="47"/>
    </row>
    <row r="603">
      <c r="N603" s="47"/>
      <c r="O603" s="47"/>
    </row>
    <row r="604">
      <c r="N604" s="47"/>
      <c r="O604" s="47"/>
    </row>
    <row r="605">
      <c r="N605" s="47"/>
      <c r="O605" s="47"/>
    </row>
    <row r="606">
      <c r="N606" s="47"/>
      <c r="O606" s="47"/>
    </row>
    <row r="607">
      <c r="N607" s="47"/>
      <c r="O607" s="47"/>
    </row>
    <row r="608">
      <c r="N608" s="47"/>
      <c r="O608" s="47"/>
    </row>
    <row r="609">
      <c r="N609" s="47"/>
      <c r="O609" s="47"/>
    </row>
    <row r="610">
      <c r="N610" s="47"/>
      <c r="O610" s="47"/>
    </row>
    <row r="611">
      <c r="N611" s="47"/>
      <c r="O611" s="47"/>
    </row>
    <row r="612">
      <c r="N612" s="47"/>
      <c r="O612" s="47"/>
    </row>
    <row r="613">
      <c r="N613" s="47"/>
      <c r="O613" s="47"/>
    </row>
    <row r="614">
      <c r="N614" s="47"/>
      <c r="O614" s="47"/>
    </row>
    <row r="615">
      <c r="N615" s="47"/>
      <c r="O615" s="47"/>
    </row>
    <row r="616">
      <c r="N616" s="47"/>
      <c r="O616" s="47"/>
    </row>
    <row r="617">
      <c r="N617" s="47"/>
      <c r="O617" s="47"/>
    </row>
    <row r="618">
      <c r="N618" s="47"/>
      <c r="O618" s="47"/>
    </row>
    <row r="619">
      <c r="N619" s="47"/>
      <c r="O619" s="47"/>
    </row>
    <row r="620">
      <c r="N620" s="47"/>
      <c r="O620" s="47"/>
    </row>
    <row r="621">
      <c r="N621" s="47"/>
      <c r="O621" s="47"/>
    </row>
    <row r="622">
      <c r="N622" s="47"/>
      <c r="O622" s="47"/>
    </row>
    <row r="623">
      <c r="N623" s="47"/>
      <c r="O623" s="47"/>
    </row>
    <row r="624">
      <c r="N624" s="47"/>
      <c r="O624" s="47"/>
    </row>
    <row r="625">
      <c r="N625" s="47"/>
      <c r="O625" s="47"/>
    </row>
    <row r="626">
      <c r="N626" s="47"/>
      <c r="O626" s="47"/>
    </row>
    <row r="627">
      <c r="N627" s="47"/>
      <c r="O627" s="47"/>
    </row>
    <row r="628">
      <c r="N628" s="47"/>
      <c r="O628" s="47"/>
    </row>
    <row r="629">
      <c r="N629" s="47"/>
      <c r="O629" s="47"/>
    </row>
    <row r="630">
      <c r="N630" s="47"/>
      <c r="O630" s="47"/>
    </row>
    <row r="631">
      <c r="N631" s="47"/>
      <c r="O631" s="47"/>
    </row>
    <row r="632">
      <c r="N632" s="47"/>
      <c r="O632" s="47"/>
    </row>
    <row r="633">
      <c r="N633" s="47"/>
      <c r="O633" s="47"/>
    </row>
    <row r="634">
      <c r="N634" s="47"/>
      <c r="O634" s="47"/>
    </row>
    <row r="635">
      <c r="N635" s="47"/>
      <c r="O635" s="47"/>
    </row>
    <row r="636">
      <c r="N636" s="47"/>
      <c r="O636" s="47"/>
    </row>
    <row r="637">
      <c r="N637" s="47"/>
      <c r="O637" s="47"/>
    </row>
    <row r="638">
      <c r="N638" s="47"/>
      <c r="O638" s="47"/>
    </row>
    <row r="639">
      <c r="N639" s="47"/>
      <c r="O639" s="47"/>
    </row>
    <row r="640">
      <c r="N640" s="47"/>
      <c r="O640" s="47"/>
    </row>
    <row r="641">
      <c r="N641" s="47"/>
      <c r="O641" s="47"/>
    </row>
    <row r="642">
      <c r="N642" s="47"/>
      <c r="O642" s="47"/>
    </row>
    <row r="643">
      <c r="N643" s="47"/>
      <c r="O643" s="47"/>
    </row>
    <row r="644">
      <c r="N644" s="47"/>
      <c r="O644" s="47"/>
    </row>
    <row r="645">
      <c r="N645" s="47"/>
      <c r="O645" s="47"/>
    </row>
    <row r="646">
      <c r="N646" s="47"/>
      <c r="O646" s="47"/>
    </row>
    <row r="647">
      <c r="N647" s="47"/>
      <c r="O647" s="47"/>
    </row>
    <row r="648">
      <c r="N648" s="47"/>
      <c r="O648" s="47"/>
    </row>
    <row r="649">
      <c r="N649" s="47"/>
      <c r="O649" s="47"/>
    </row>
    <row r="650">
      <c r="N650" s="47"/>
      <c r="O650" s="47"/>
    </row>
    <row r="651">
      <c r="N651" s="47"/>
      <c r="O651" s="47"/>
    </row>
    <row r="652">
      <c r="N652" s="47"/>
      <c r="O652" s="47"/>
    </row>
    <row r="653">
      <c r="N653" s="47"/>
      <c r="O653" s="47"/>
    </row>
    <row r="654">
      <c r="N654" s="47"/>
      <c r="O654" s="47"/>
    </row>
    <row r="655">
      <c r="N655" s="47"/>
      <c r="O655" s="47"/>
    </row>
    <row r="656">
      <c r="N656" s="47"/>
      <c r="O656" s="47"/>
    </row>
    <row r="657">
      <c r="N657" s="47"/>
      <c r="O657" s="47"/>
    </row>
    <row r="658">
      <c r="N658" s="47"/>
      <c r="O658" s="47"/>
    </row>
    <row r="659">
      <c r="N659" s="47"/>
      <c r="O659" s="47"/>
    </row>
    <row r="660">
      <c r="N660" s="47"/>
      <c r="O660" s="47"/>
    </row>
    <row r="661">
      <c r="N661" s="47"/>
      <c r="O661" s="47"/>
    </row>
    <row r="662">
      <c r="N662" s="47"/>
      <c r="O662" s="47"/>
    </row>
    <row r="663">
      <c r="N663" s="47"/>
      <c r="O663" s="47"/>
    </row>
    <row r="664">
      <c r="N664" s="47"/>
      <c r="O664" s="47"/>
    </row>
    <row r="665">
      <c r="N665" s="47"/>
      <c r="O665" s="47"/>
    </row>
    <row r="666">
      <c r="N666" s="47"/>
      <c r="O666" s="47"/>
    </row>
    <row r="667">
      <c r="N667" s="47"/>
      <c r="O667" s="47"/>
    </row>
    <row r="668">
      <c r="N668" s="47"/>
      <c r="O668" s="47"/>
    </row>
    <row r="669">
      <c r="N669" s="47"/>
      <c r="O669" s="47"/>
    </row>
    <row r="670">
      <c r="N670" s="47"/>
      <c r="O670" s="47"/>
    </row>
    <row r="671">
      <c r="N671" s="47"/>
      <c r="O671" s="47"/>
    </row>
    <row r="672">
      <c r="N672" s="47"/>
      <c r="O672" s="47"/>
    </row>
    <row r="673">
      <c r="N673" s="47"/>
      <c r="O673" s="47"/>
    </row>
    <row r="674">
      <c r="N674" s="47"/>
      <c r="O674" s="47"/>
    </row>
    <row r="675">
      <c r="N675" s="47"/>
      <c r="O675" s="47"/>
    </row>
    <row r="676">
      <c r="N676" s="47"/>
      <c r="O676" s="47"/>
    </row>
    <row r="677">
      <c r="N677" s="47"/>
      <c r="O677" s="47"/>
    </row>
    <row r="678">
      <c r="N678" s="47"/>
      <c r="O678" s="47"/>
    </row>
    <row r="679">
      <c r="N679" s="47"/>
      <c r="O679" s="47"/>
    </row>
    <row r="680">
      <c r="N680" s="47"/>
      <c r="O680" s="47"/>
    </row>
    <row r="681">
      <c r="N681" s="47"/>
      <c r="O681" s="47"/>
    </row>
    <row r="682">
      <c r="N682" s="47"/>
      <c r="O682" s="47"/>
    </row>
    <row r="683">
      <c r="N683" s="47"/>
      <c r="O683" s="47"/>
    </row>
    <row r="684">
      <c r="N684" s="47"/>
      <c r="O684" s="47"/>
    </row>
    <row r="685">
      <c r="N685" s="47"/>
      <c r="O685" s="47"/>
    </row>
    <row r="686">
      <c r="N686" s="47"/>
      <c r="O686" s="47"/>
    </row>
    <row r="687">
      <c r="N687" s="47"/>
      <c r="O687" s="47"/>
    </row>
    <row r="688">
      <c r="N688" s="47"/>
      <c r="O688" s="47"/>
    </row>
    <row r="689">
      <c r="N689" s="47"/>
      <c r="O689" s="47"/>
    </row>
    <row r="690">
      <c r="N690" s="47"/>
      <c r="O690" s="47"/>
    </row>
    <row r="691">
      <c r="N691" s="47"/>
      <c r="O691" s="47"/>
    </row>
    <row r="692">
      <c r="N692" s="47"/>
      <c r="O692" s="47"/>
    </row>
    <row r="693">
      <c r="N693" s="47"/>
      <c r="O693" s="47"/>
    </row>
    <row r="694">
      <c r="N694" s="47"/>
      <c r="O694" s="47"/>
    </row>
    <row r="695">
      <c r="N695" s="47"/>
      <c r="O695" s="47"/>
    </row>
    <row r="696">
      <c r="N696" s="47"/>
      <c r="O696" s="47"/>
    </row>
    <row r="697">
      <c r="N697" s="47"/>
      <c r="O697" s="47"/>
    </row>
    <row r="698">
      <c r="N698" s="47"/>
      <c r="O698" s="47"/>
    </row>
    <row r="699">
      <c r="N699" s="47"/>
      <c r="O699" s="47"/>
    </row>
    <row r="700">
      <c r="N700" s="47"/>
      <c r="O700" s="47"/>
    </row>
    <row r="701">
      <c r="N701" s="47"/>
      <c r="O701" s="47"/>
    </row>
    <row r="702">
      <c r="N702" s="47"/>
      <c r="O702" s="47"/>
    </row>
    <row r="703">
      <c r="N703" s="47"/>
      <c r="O703" s="47"/>
    </row>
    <row r="704">
      <c r="N704" s="47"/>
      <c r="O704" s="47"/>
    </row>
    <row r="705">
      <c r="N705" s="47"/>
      <c r="O705" s="47"/>
    </row>
    <row r="706">
      <c r="N706" s="47"/>
      <c r="O706" s="47"/>
    </row>
    <row r="707">
      <c r="N707" s="47"/>
      <c r="O707" s="47"/>
    </row>
    <row r="708">
      <c r="N708" s="47"/>
      <c r="O708" s="47"/>
    </row>
    <row r="709">
      <c r="N709" s="47"/>
      <c r="O709" s="47"/>
    </row>
    <row r="710">
      <c r="N710" s="47"/>
      <c r="O710" s="47"/>
    </row>
    <row r="711">
      <c r="N711" s="47"/>
      <c r="O711" s="47"/>
    </row>
    <row r="712">
      <c r="N712" s="47"/>
      <c r="O712" s="47"/>
    </row>
    <row r="713">
      <c r="N713" s="47"/>
      <c r="O713" s="47"/>
    </row>
    <row r="714">
      <c r="N714" s="47"/>
      <c r="O714" s="47"/>
    </row>
    <row r="715">
      <c r="N715" s="47"/>
      <c r="O715" s="47"/>
    </row>
    <row r="716">
      <c r="N716" s="47"/>
      <c r="O716" s="47"/>
    </row>
    <row r="717">
      <c r="N717" s="47"/>
      <c r="O717" s="47"/>
    </row>
    <row r="718">
      <c r="N718" s="47"/>
      <c r="O718" s="47"/>
    </row>
    <row r="719">
      <c r="N719" s="47"/>
      <c r="O719" s="47"/>
    </row>
    <row r="720">
      <c r="N720" s="47"/>
      <c r="O720" s="47"/>
    </row>
    <row r="721">
      <c r="N721" s="47"/>
      <c r="O721" s="47"/>
    </row>
    <row r="722">
      <c r="N722" s="47"/>
      <c r="O722" s="47"/>
    </row>
    <row r="723">
      <c r="N723" s="47"/>
      <c r="O723" s="47"/>
    </row>
    <row r="724">
      <c r="N724" s="47"/>
      <c r="O724" s="47"/>
    </row>
    <row r="725">
      <c r="N725" s="47"/>
      <c r="O725" s="47"/>
    </row>
    <row r="726">
      <c r="N726" s="47"/>
      <c r="O726" s="47"/>
    </row>
    <row r="727">
      <c r="N727" s="47"/>
      <c r="O727" s="47"/>
    </row>
    <row r="728">
      <c r="N728" s="47"/>
      <c r="O728" s="47"/>
    </row>
    <row r="729">
      <c r="N729" s="47"/>
      <c r="O729" s="47"/>
    </row>
    <row r="730">
      <c r="N730" s="47"/>
      <c r="O730" s="47"/>
    </row>
    <row r="731">
      <c r="N731" s="47"/>
      <c r="O731" s="47"/>
    </row>
    <row r="732">
      <c r="N732" s="47"/>
      <c r="O732" s="47"/>
    </row>
    <row r="733">
      <c r="N733" s="47"/>
      <c r="O733" s="47"/>
    </row>
    <row r="734">
      <c r="N734" s="47"/>
      <c r="O734" s="47"/>
    </row>
    <row r="735">
      <c r="N735" s="47"/>
      <c r="O735" s="47"/>
    </row>
    <row r="736">
      <c r="N736" s="47"/>
      <c r="O736" s="47"/>
    </row>
    <row r="737">
      <c r="N737" s="47"/>
      <c r="O737" s="47"/>
    </row>
    <row r="738">
      <c r="N738" s="47"/>
      <c r="O738" s="47"/>
    </row>
    <row r="739">
      <c r="N739" s="47"/>
      <c r="O739" s="47"/>
    </row>
    <row r="740">
      <c r="N740" s="47"/>
      <c r="O740" s="47"/>
    </row>
    <row r="741">
      <c r="N741" s="47"/>
      <c r="O741" s="47"/>
    </row>
    <row r="742">
      <c r="N742" s="47"/>
      <c r="O742" s="47"/>
    </row>
    <row r="743">
      <c r="N743" s="47"/>
      <c r="O743" s="47"/>
    </row>
    <row r="744">
      <c r="N744" s="47"/>
      <c r="O744" s="47"/>
    </row>
    <row r="745">
      <c r="N745" s="47"/>
      <c r="O745" s="47"/>
    </row>
    <row r="746">
      <c r="N746" s="47"/>
      <c r="O746" s="47"/>
    </row>
    <row r="747">
      <c r="N747" s="47"/>
      <c r="O747" s="47"/>
    </row>
    <row r="748">
      <c r="N748" s="47"/>
      <c r="O748" s="47"/>
    </row>
    <row r="749">
      <c r="N749" s="47"/>
      <c r="O749" s="47"/>
    </row>
    <row r="750">
      <c r="N750" s="47"/>
      <c r="O750" s="47"/>
    </row>
    <row r="751">
      <c r="N751" s="47"/>
      <c r="O751" s="47"/>
    </row>
    <row r="752">
      <c r="N752" s="47"/>
      <c r="O752" s="47"/>
    </row>
    <row r="753">
      <c r="N753" s="47"/>
      <c r="O753" s="47"/>
    </row>
    <row r="754">
      <c r="N754" s="47"/>
      <c r="O754" s="47"/>
    </row>
    <row r="755">
      <c r="N755" s="47"/>
      <c r="O755" s="47"/>
    </row>
    <row r="756">
      <c r="N756" s="47"/>
      <c r="O756" s="47"/>
    </row>
    <row r="757">
      <c r="N757" s="47"/>
      <c r="O757" s="47"/>
    </row>
    <row r="758">
      <c r="N758" s="47"/>
      <c r="O758" s="47"/>
    </row>
    <row r="759">
      <c r="N759" s="47"/>
      <c r="O759" s="47"/>
    </row>
    <row r="760">
      <c r="N760" s="47"/>
      <c r="O760" s="47"/>
    </row>
    <row r="761">
      <c r="N761" s="47"/>
      <c r="O761" s="47"/>
    </row>
    <row r="762">
      <c r="N762" s="47"/>
      <c r="O762" s="47"/>
    </row>
    <row r="763">
      <c r="N763" s="47"/>
      <c r="O763" s="47"/>
    </row>
    <row r="764">
      <c r="N764" s="47"/>
      <c r="O764" s="47"/>
    </row>
    <row r="765">
      <c r="N765" s="47"/>
      <c r="O765" s="47"/>
    </row>
    <row r="766">
      <c r="N766" s="47"/>
      <c r="O766" s="47"/>
    </row>
    <row r="767">
      <c r="N767" s="47"/>
      <c r="O767" s="47"/>
    </row>
    <row r="768">
      <c r="N768" s="47"/>
      <c r="O768" s="47"/>
    </row>
    <row r="769">
      <c r="N769" s="47"/>
      <c r="O769" s="47"/>
    </row>
    <row r="770">
      <c r="N770" s="47"/>
      <c r="O770" s="47"/>
    </row>
    <row r="771">
      <c r="N771" s="47"/>
      <c r="O771" s="47"/>
    </row>
    <row r="772">
      <c r="N772" s="47"/>
      <c r="O772" s="47"/>
    </row>
    <row r="773">
      <c r="N773" s="47"/>
      <c r="O773" s="47"/>
    </row>
    <row r="774">
      <c r="N774" s="47"/>
      <c r="O774" s="47"/>
    </row>
    <row r="775">
      <c r="N775" s="47"/>
      <c r="O775" s="47"/>
    </row>
    <row r="776">
      <c r="N776" s="47"/>
      <c r="O776" s="47"/>
    </row>
    <row r="777">
      <c r="N777" s="47"/>
      <c r="O777" s="47"/>
    </row>
    <row r="778">
      <c r="N778" s="47"/>
      <c r="O778" s="47"/>
    </row>
    <row r="779">
      <c r="N779" s="47"/>
      <c r="O779" s="47"/>
    </row>
    <row r="780">
      <c r="N780" s="47"/>
      <c r="O780" s="47"/>
    </row>
    <row r="781">
      <c r="N781" s="47"/>
      <c r="O781" s="47"/>
    </row>
    <row r="782">
      <c r="N782" s="47"/>
      <c r="O782" s="47"/>
    </row>
    <row r="783">
      <c r="N783" s="47"/>
      <c r="O783" s="47"/>
    </row>
    <row r="784">
      <c r="N784" s="47"/>
      <c r="O784" s="47"/>
    </row>
    <row r="785">
      <c r="N785" s="47"/>
      <c r="O785" s="47"/>
    </row>
    <row r="786">
      <c r="N786" s="47"/>
      <c r="O786" s="47"/>
    </row>
    <row r="787">
      <c r="N787" s="47"/>
      <c r="O787" s="47"/>
    </row>
    <row r="788">
      <c r="N788" s="47"/>
      <c r="O788" s="47"/>
    </row>
    <row r="789">
      <c r="N789" s="47"/>
      <c r="O789" s="47"/>
    </row>
    <row r="790">
      <c r="N790" s="47"/>
      <c r="O790" s="47"/>
    </row>
    <row r="791">
      <c r="N791" s="47"/>
      <c r="O791" s="47"/>
    </row>
    <row r="792">
      <c r="N792" s="47"/>
      <c r="O792" s="47"/>
    </row>
    <row r="793">
      <c r="N793" s="47"/>
      <c r="O793" s="47"/>
    </row>
    <row r="794">
      <c r="N794" s="47"/>
      <c r="O794" s="47"/>
    </row>
    <row r="795">
      <c r="N795" s="47"/>
      <c r="O795" s="47"/>
    </row>
    <row r="796">
      <c r="N796" s="47"/>
      <c r="O796" s="47"/>
    </row>
    <row r="797">
      <c r="N797" s="47"/>
      <c r="O797" s="47"/>
    </row>
    <row r="798">
      <c r="N798" s="47"/>
      <c r="O798" s="47"/>
    </row>
    <row r="799">
      <c r="N799" s="47"/>
      <c r="O799" s="47"/>
    </row>
    <row r="800">
      <c r="N800" s="47"/>
      <c r="O800" s="47"/>
    </row>
    <row r="801">
      <c r="N801" s="47"/>
      <c r="O801" s="47"/>
    </row>
    <row r="802">
      <c r="N802" s="47"/>
      <c r="O802" s="47"/>
    </row>
    <row r="803">
      <c r="N803" s="47"/>
      <c r="O803" s="47"/>
    </row>
    <row r="804">
      <c r="N804" s="47"/>
      <c r="O804" s="47"/>
    </row>
    <row r="805">
      <c r="N805" s="47"/>
      <c r="O805" s="47"/>
    </row>
    <row r="806">
      <c r="N806" s="47"/>
      <c r="O806" s="47"/>
    </row>
    <row r="807">
      <c r="N807" s="47"/>
      <c r="O807" s="47"/>
    </row>
    <row r="808">
      <c r="N808" s="47"/>
      <c r="O808" s="47"/>
    </row>
    <row r="809">
      <c r="N809" s="47"/>
      <c r="O809" s="47"/>
    </row>
    <row r="810">
      <c r="N810" s="47"/>
      <c r="O810" s="47"/>
    </row>
    <row r="811">
      <c r="N811" s="47"/>
      <c r="O811" s="47"/>
    </row>
    <row r="812">
      <c r="N812" s="47"/>
      <c r="O812" s="47"/>
    </row>
    <row r="813">
      <c r="N813" s="47"/>
      <c r="O813" s="47"/>
    </row>
    <row r="814">
      <c r="N814" s="47"/>
      <c r="O814" s="47"/>
    </row>
    <row r="815">
      <c r="N815" s="47"/>
      <c r="O815" s="47"/>
    </row>
    <row r="816">
      <c r="N816" s="47"/>
      <c r="O816" s="47"/>
    </row>
    <row r="817">
      <c r="N817" s="47"/>
      <c r="O817" s="47"/>
    </row>
    <row r="818">
      <c r="N818" s="47"/>
      <c r="O818" s="47"/>
    </row>
    <row r="819">
      <c r="N819" s="47"/>
      <c r="O819" s="47"/>
    </row>
    <row r="820">
      <c r="N820" s="47"/>
      <c r="O820" s="47"/>
    </row>
    <row r="821">
      <c r="N821" s="47"/>
      <c r="O821" s="47"/>
    </row>
    <row r="822">
      <c r="N822" s="47"/>
      <c r="O822" s="47"/>
    </row>
    <row r="823">
      <c r="N823" s="47"/>
      <c r="O823" s="47"/>
    </row>
    <row r="824">
      <c r="N824" s="47"/>
      <c r="O824" s="47"/>
    </row>
    <row r="825">
      <c r="N825" s="47"/>
      <c r="O825" s="47"/>
    </row>
    <row r="826">
      <c r="N826" s="47"/>
      <c r="O826" s="47"/>
    </row>
    <row r="827">
      <c r="N827" s="47"/>
      <c r="O827" s="47"/>
    </row>
    <row r="828">
      <c r="N828" s="47"/>
      <c r="O828" s="47"/>
    </row>
    <row r="829">
      <c r="N829" s="47"/>
      <c r="O829" s="47"/>
    </row>
    <row r="830">
      <c r="N830" s="47"/>
      <c r="O830" s="47"/>
    </row>
    <row r="831">
      <c r="N831" s="47"/>
      <c r="O831" s="47"/>
    </row>
    <row r="832">
      <c r="N832" s="47"/>
      <c r="O832" s="47"/>
    </row>
    <row r="833">
      <c r="N833" s="47"/>
      <c r="O833" s="47"/>
    </row>
    <row r="834">
      <c r="N834" s="47"/>
      <c r="O834" s="47"/>
    </row>
    <row r="835">
      <c r="N835" s="47"/>
      <c r="O835" s="47"/>
    </row>
    <row r="836">
      <c r="N836" s="47"/>
      <c r="O836" s="47"/>
    </row>
    <row r="837">
      <c r="N837" s="47"/>
      <c r="O837" s="47"/>
    </row>
    <row r="838">
      <c r="N838" s="47"/>
      <c r="O838" s="47"/>
    </row>
    <row r="839">
      <c r="N839" s="47"/>
      <c r="O839" s="47"/>
    </row>
    <row r="840">
      <c r="N840" s="47"/>
      <c r="O840" s="47"/>
    </row>
    <row r="841">
      <c r="N841" s="47"/>
      <c r="O841" s="47"/>
    </row>
    <row r="842">
      <c r="N842" s="47"/>
      <c r="O842" s="47"/>
    </row>
    <row r="843">
      <c r="N843" s="47"/>
      <c r="O843" s="47"/>
    </row>
    <row r="844">
      <c r="N844" s="47"/>
      <c r="O844" s="47"/>
    </row>
    <row r="845">
      <c r="N845" s="47"/>
      <c r="O845" s="47"/>
    </row>
    <row r="846">
      <c r="N846" s="47"/>
      <c r="O846" s="47"/>
    </row>
    <row r="847">
      <c r="N847" s="47"/>
      <c r="O847" s="47"/>
    </row>
    <row r="848">
      <c r="N848" s="47"/>
      <c r="O848" s="47"/>
    </row>
    <row r="849">
      <c r="N849" s="47"/>
      <c r="O849" s="47"/>
    </row>
    <row r="850">
      <c r="N850" s="47"/>
      <c r="O850" s="47"/>
    </row>
    <row r="851">
      <c r="N851" s="47"/>
      <c r="O851" s="47"/>
    </row>
    <row r="852">
      <c r="N852" s="47"/>
      <c r="O852" s="47"/>
    </row>
    <row r="853">
      <c r="N853" s="47"/>
      <c r="O853" s="47"/>
    </row>
    <row r="854">
      <c r="N854" s="47"/>
      <c r="O854" s="47"/>
    </row>
    <row r="855">
      <c r="N855" s="47"/>
      <c r="O855" s="47"/>
    </row>
    <row r="856">
      <c r="N856" s="47"/>
      <c r="O856" s="47"/>
    </row>
    <row r="857">
      <c r="N857" s="47"/>
      <c r="O857" s="47"/>
    </row>
    <row r="858">
      <c r="N858" s="47"/>
      <c r="O858" s="47"/>
    </row>
    <row r="859">
      <c r="N859" s="47"/>
      <c r="O859" s="47"/>
    </row>
    <row r="860">
      <c r="N860" s="47"/>
      <c r="O860" s="47"/>
    </row>
    <row r="861">
      <c r="N861" s="47"/>
      <c r="O861" s="47"/>
    </row>
    <row r="862">
      <c r="N862" s="47"/>
      <c r="O862" s="47"/>
    </row>
    <row r="863">
      <c r="N863" s="47"/>
      <c r="O863" s="47"/>
    </row>
    <row r="864">
      <c r="N864" s="47"/>
      <c r="O864" s="47"/>
    </row>
    <row r="865">
      <c r="N865" s="47"/>
      <c r="O865" s="47"/>
    </row>
    <row r="866">
      <c r="N866" s="47"/>
      <c r="O866" s="47"/>
    </row>
    <row r="867">
      <c r="N867" s="47"/>
      <c r="O867" s="47"/>
    </row>
    <row r="868">
      <c r="N868" s="47"/>
      <c r="O868" s="47"/>
    </row>
    <row r="869">
      <c r="N869" s="47"/>
      <c r="O869" s="47"/>
    </row>
    <row r="870">
      <c r="N870" s="47"/>
      <c r="O870" s="47"/>
    </row>
    <row r="871">
      <c r="N871" s="47"/>
      <c r="O871" s="47"/>
    </row>
    <row r="872">
      <c r="N872" s="47"/>
      <c r="O872" s="47"/>
    </row>
    <row r="873">
      <c r="N873" s="47"/>
      <c r="O873" s="47"/>
    </row>
    <row r="874">
      <c r="N874" s="47"/>
      <c r="O874" s="47"/>
    </row>
    <row r="875">
      <c r="N875" s="47"/>
      <c r="O875" s="47"/>
    </row>
    <row r="876">
      <c r="N876" s="47"/>
      <c r="O876" s="47"/>
    </row>
    <row r="877">
      <c r="N877" s="47"/>
      <c r="O877" s="47"/>
    </row>
    <row r="878">
      <c r="N878" s="47"/>
      <c r="O878" s="47"/>
    </row>
    <row r="879">
      <c r="N879" s="47"/>
      <c r="O879" s="47"/>
    </row>
    <row r="880">
      <c r="N880" s="47"/>
      <c r="O880" s="47"/>
    </row>
    <row r="881">
      <c r="N881" s="47"/>
      <c r="O881" s="47"/>
    </row>
    <row r="882">
      <c r="N882" s="47"/>
      <c r="O882" s="47"/>
    </row>
    <row r="883">
      <c r="N883" s="47"/>
      <c r="O883" s="47"/>
    </row>
    <row r="884">
      <c r="N884" s="47"/>
      <c r="O884" s="47"/>
    </row>
    <row r="885">
      <c r="N885" s="47"/>
      <c r="O885" s="47"/>
    </row>
    <row r="886">
      <c r="N886" s="47"/>
      <c r="O886" s="47"/>
    </row>
    <row r="887">
      <c r="N887" s="47"/>
      <c r="O887" s="47"/>
    </row>
    <row r="888">
      <c r="N888" s="47"/>
      <c r="O888" s="47"/>
    </row>
    <row r="889">
      <c r="N889" s="47"/>
      <c r="O889" s="47"/>
    </row>
    <row r="890">
      <c r="N890" s="47"/>
      <c r="O890" s="47"/>
    </row>
    <row r="891">
      <c r="N891" s="47"/>
      <c r="O891" s="47"/>
    </row>
    <row r="892">
      <c r="N892" s="47"/>
      <c r="O892" s="47"/>
    </row>
    <row r="893">
      <c r="N893" s="47"/>
      <c r="O893" s="47"/>
    </row>
    <row r="894">
      <c r="N894" s="47"/>
      <c r="O894" s="47"/>
    </row>
    <row r="895">
      <c r="N895" s="47"/>
      <c r="O895" s="47"/>
    </row>
    <row r="896">
      <c r="N896" s="47"/>
      <c r="O896" s="47"/>
    </row>
    <row r="897">
      <c r="N897" s="47"/>
      <c r="O897" s="47"/>
    </row>
    <row r="898">
      <c r="N898" s="47"/>
      <c r="O898" s="47"/>
    </row>
    <row r="899">
      <c r="N899" s="47"/>
      <c r="O899" s="47"/>
    </row>
    <row r="900">
      <c r="N900" s="47"/>
      <c r="O900" s="47"/>
    </row>
    <row r="901">
      <c r="N901" s="47"/>
      <c r="O901" s="47"/>
    </row>
    <row r="902">
      <c r="N902" s="47"/>
      <c r="O902" s="47"/>
    </row>
    <row r="903">
      <c r="N903" s="47"/>
      <c r="O903" s="47"/>
    </row>
    <row r="904">
      <c r="N904" s="47"/>
      <c r="O904" s="47"/>
    </row>
    <row r="905">
      <c r="N905" s="47"/>
      <c r="O905" s="47"/>
    </row>
    <row r="906">
      <c r="N906" s="47"/>
      <c r="O906" s="47"/>
    </row>
    <row r="907">
      <c r="N907" s="47"/>
      <c r="O907" s="47"/>
    </row>
    <row r="908">
      <c r="N908" s="47"/>
      <c r="O908" s="47"/>
    </row>
    <row r="909">
      <c r="N909" s="47"/>
      <c r="O909" s="47"/>
    </row>
    <row r="910">
      <c r="N910" s="47"/>
      <c r="O910" s="47"/>
    </row>
    <row r="911">
      <c r="N911" s="47"/>
      <c r="O911" s="47"/>
    </row>
    <row r="912">
      <c r="N912" s="47"/>
      <c r="O912" s="47"/>
    </row>
    <row r="913">
      <c r="N913" s="47"/>
      <c r="O913" s="47"/>
    </row>
    <row r="914">
      <c r="N914" s="47"/>
      <c r="O914" s="47"/>
    </row>
    <row r="915">
      <c r="N915" s="47"/>
      <c r="O915" s="47"/>
    </row>
    <row r="916">
      <c r="N916" s="47"/>
      <c r="O916" s="47"/>
    </row>
    <row r="917">
      <c r="N917" s="47"/>
      <c r="O917" s="47"/>
    </row>
    <row r="918">
      <c r="N918" s="47"/>
      <c r="O918" s="47"/>
    </row>
    <row r="919">
      <c r="N919" s="47"/>
      <c r="O919" s="47"/>
    </row>
    <row r="920">
      <c r="N920" s="47"/>
      <c r="O920" s="47"/>
    </row>
    <row r="921">
      <c r="N921" s="47"/>
      <c r="O921" s="47"/>
    </row>
    <row r="922">
      <c r="N922" s="47"/>
      <c r="O922" s="47"/>
    </row>
    <row r="923">
      <c r="N923" s="47"/>
      <c r="O923" s="47"/>
    </row>
    <row r="924">
      <c r="N924" s="47"/>
      <c r="O924" s="47"/>
    </row>
    <row r="925">
      <c r="N925" s="47"/>
      <c r="O925" s="47"/>
    </row>
    <row r="926">
      <c r="N926" s="47"/>
      <c r="O926" s="47"/>
    </row>
    <row r="927">
      <c r="N927" s="47"/>
      <c r="O927" s="47"/>
    </row>
    <row r="928">
      <c r="N928" s="47"/>
      <c r="O928" s="47"/>
    </row>
    <row r="929">
      <c r="N929" s="47"/>
      <c r="O929" s="47"/>
    </row>
    <row r="930">
      <c r="N930" s="47"/>
      <c r="O930" s="47"/>
    </row>
    <row r="931">
      <c r="N931" s="47"/>
      <c r="O931" s="47"/>
    </row>
    <row r="932">
      <c r="N932" s="47"/>
      <c r="O932" s="47"/>
    </row>
    <row r="933">
      <c r="N933" s="47"/>
      <c r="O933" s="47"/>
    </row>
    <row r="934">
      <c r="N934" s="47"/>
      <c r="O934" s="47"/>
    </row>
    <row r="935">
      <c r="N935" s="47"/>
      <c r="O935" s="47"/>
    </row>
    <row r="936">
      <c r="N936" s="47"/>
      <c r="O936" s="47"/>
    </row>
    <row r="937">
      <c r="N937" s="47"/>
      <c r="O937" s="47"/>
    </row>
    <row r="938">
      <c r="N938" s="47"/>
      <c r="O938" s="47"/>
    </row>
    <row r="939">
      <c r="N939" s="47"/>
      <c r="O939" s="47"/>
    </row>
    <row r="940">
      <c r="N940" s="47"/>
      <c r="O940" s="47"/>
    </row>
    <row r="941">
      <c r="N941" s="47"/>
      <c r="O941" s="47"/>
    </row>
    <row r="942">
      <c r="N942" s="47"/>
      <c r="O942" s="47"/>
    </row>
    <row r="943">
      <c r="N943" s="47"/>
      <c r="O943" s="47"/>
    </row>
    <row r="944">
      <c r="N944" s="47"/>
      <c r="O944" s="47"/>
    </row>
    <row r="945">
      <c r="N945" s="47"/>
      <c r="O945" s="47"/>
    </row>
    <row r="946">
      <c r="N946" s="47"/>
      <c r="O946" s="47"/>
    </row>
    <row r="947">
      <c r="N947" s="47"/>
      <c r="O947" s="47"/>
    </row>
    <row r="948">
      <c r="N948" s="47"/>
      <c r="O948" s="47"/>
    </row>
    <row r="949">
      <c r="N949" s="47"/>
      <c r="O949" s="47"/>
    </row>
    <row r="950">
      <c r="N950" s="47"/>
      <c r="O950" s="47"/>
    </row>
    <row r="951">
      <c r="N951" s="47"/>
      <c r="O951" s="47"/>
    </row>
    <row r="952">
      <c r="N952" s="47"/>
      <c r="O952" s="47"/>
    </row>
    <row r="953">
      <c r="N953" s="47"/>
      <c r="O953" s="47"/>
    </row>
    <row r="954">
      <c r="N954" s="47"/>
      <c r="O954" s="47"/>
    </row>
    <row r="955">
      <c r="N955" s="47"/>
      <c r="O955" s="47"/>
    </row>
    <row r="956">
      <c r="N956" s="47"/>
      <c r="O956" s="47"/>
    </row>
    <row r="957">
      <c r="N957" s="47"/>
      <c r="O957" s="47"/>
    </row>
    <row r="958">
      <c r="N958" s="47"/>
      <c r="O958" s="47"/>
    </row>
    <row r="959">
      <c r="N959" s="47"/>
      <c r="O959" s="47"/>
    </row>
    <row r="960">
      <c r="N960" s="47"/>
      <c r="O960" s="47"/>
    </row>
    <row r="961">
      <c r="N961" s="47"/>
      <c r="O961" s="47"/>
    </row>
    <row r="962">
      <c r="N962" s="47"/>
      <c r="O962" s="47"/>
    </row>
    <row r="963">
      <c r="N963" s="47"/>
      <c r="O963" s="47"/>
    </row>
    <row r="964">
      <c r="N964" s="47"/>
      <c r="O964" s="47"/>
    </row>
    <row r="965">
      <c r="N965" s="47"/>
      <c r="O965" s="47"/>
    </row>
    <row r="966">
      <c r="N966" s="47"/>
      <c r="O966" s="47"/>
    </row>
    <row r="967">
      <c r="N967" s="47"/>
      <c r="O967" s="47"/>
    </row>
    <row r="968">
      <c r="N968" s="47"/>
      <c r="O968" s="47"/>
    </row>
    <row r="969">
      <c r="N969" s="47"/>
      <c r="O969" s="47"/>
    </row>
    <row r="970">
      <c r="N970" s="47"/>
      <c r="O970" s="47"/>
    </row>
    <row r="971">
      <c r="N971" s="47"/>
      <c r="O971" s="47"/>
    </row>
    <row r="972">
      <c r="N972" s="47"/>
      <c r="O972" s="47"/>
    </row>
    <row r="973">
      <c r="N973" s="47"/>
      <c r="O973" s="47"/>
    </row>
    <row r="974">
      <c r="N974" s="47"/>
      <c r="O974" s="47"/>
    </row>
    <row r="975">
      <c r="N975" s="47"/>
      <c r="O975" s="47"/>
    </row>
    <row r="976">
      <c r="N976" s="47"/>
      <c r="O976" s="47"/>
    </row>
    <row r="977">
      <c r="N977" s="47"/>
      <c r="O977" s="47"/>
    </row>
    <row r="978">
      <c r="N978" s="47"/>
      <c r="O978" s="47"/>
    </row>
    <row r="979">
      <c r="N979" s="47"/>
      <c r="O979" s="47"/>
    </row>
    <row r="980">
      <c r="N980" s="47"/>
      <c r="O980" s="47"/>
    </row>
    <row r="981">
      <c r="N981" s="47"/>
      <c r="O981" s="47"/>
    </row>
    <row r="982">
      <c r="N982" s="47"/>
      <c r="O982" s="47"/>
    </row>
    <row r="983">
      <c r="N983" s="47"/>
      <c r="O983" s="47"/>
    </row>
    <row r="984">
      <c r="N984" s="47"/>
      <c r="O984" s="47"/>
    </row>
    <row r="985">
      <c r="N985" s="47"/>
      <c r="O985" s="47"/>
    </row>
    <row r="986">
      <c r="N986" s="47"/>
      <c r="O986" s="47"/>
    </row>
    <row r="987">
      <c r="N987" s="47"/>
      <c r="O987" s="47"/>
    </row>
    <row r="988">
      <c r="N988" s="47"/>
      <c r="O988" s="47"/>
    </row>
    <row r="989">
      <c r="N989" s="47"/>
      <c r="O989" s="47"/>
    </row>
    <row r="990">
      <c r="N990" s="47"/>
      <c r="O990" s="47"/>
    </row>
    <row r="991">
      <c r="N991" s="47"/>
      <c r="O991" s="47"/>
    </row>
    <row r="992">
      <c r="N992" s="47"/>
      <c r="O992" s="47"/>
    </row>
    <row r="993">
      <c r="N993" s="47"/>
      <c r="O993" s="47"/>
    </row>
    <row r="994">
      <c r="N994" s="47"/>
      <c r="O994" s="47"/>
    </row>
    <row r="995">
      <c r="N995" s="47"/>
      <c r="O995" s="47"/>
    </row>
    <row r="996">
      <c r="N996" s="47"/>
      <c r="O996" s="47"/>
    </row>
    <row r="997">
      <c r="N997" s="47"/>
      <c r="O997" s="47"/>
    </row>
    <row r="998">
      <c r="N998" s="47"/>
      <c r="O998" s="47"/>
    </row>
    <row r="999">
      <c r="N999" s="47"/>
      <c r="O999" s="47"/>
    </row>
    <row r="1000">
      <c r="N1000" s="47"/>
      <c r="O1000" s="47"/>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3" max="10" width="12.63"/>
    <col customWidth="1" min="11" max="11" width="7.63"/>
    <col customWidth="1" min="12" max="12" width="64.88"/>
    <col customWidth="1" min="13" max="13" width="15.13"/>
    <col customWidth="1" min="14" max="14" width="49.63"/>
    <col customWidth="1" min="15" max="15" width="50.75"/>
    <col customWidth="1" min="16" max="20" width="12.63"/>
  </cols>
  <sheetData>
    <row r="1">
      <c r="A1" s="28" t="s">
        <v>327</v>
      </c>
      <c r="K1" s="1"/>
      <c r="M1" s="13" t="s">
        <v>457</v>
      </c>
      <c r="N1" s="46" t="s">
        <v>458</v>
      </c>
      <c r="O1" s="47"/>
    </row>
    <row r="2">
      <c r="K2" s="41"/>
      <c r="M2" s="13">
        <v>2387.4</v>
      </c>
      <c r="N2" s="46" t="s">
        <v>519</v>
      </c>
      <c r="O2" s="47"/>
    </row>
    <row r="3">
      <c r="A3" s="1" t="s">
        <v>380</v>
      </c>
      <c r="N3" s="47"/>
      <c r="O3" s="47"/>
    </row>
    <row r="4">
      <c r="A4" s="44" t="s">
        <v>332</v>
      </c>
      <c r="B4" s="44" t="s">
        <v>333</v>
      </c>
      <c r="M4" s="42"/>
      <c r="N4" s="48" t="s">
        <v>460</v>
      </c>
      <c r="O4" s="48">
        <v>-1443.6</v>
      </c>
    </row>
    <row r="5">
      <c r="A5" s="11" t="s">
        <v>520</v>
      </c>
      <c r="B5" s="31">
        <v>813.0</v>
      </c>
      <c r="M5" s="42"/>
      <c r="N5" s="48" t="s">
        <v>462</v>
      </c>
      <c r="O5" s="48">
        <v>1884.4</v>
      </c>
    </row>
    <row r="6">
      <c r="A6" s="11" t="s">
        <v>339</v>
      </c>
      <c r="B6" s="31">
        <v>385.0</v>
      </c>
      <c r="M6" s="42"/>
      <c r="N6" s="48" t="s">
        <v>463</v>
      </c>
      <c r="O6" s="48">
        <v>-13582.554000000002</v>
      </c>
    </row>
    <row r="7">
      <c r="A7" s="11" t="s">
        <v>341</v>
      </c>
      <c r="B7" s="31">
        <v>51.0</v>
      </c>
      <c r="N7" s="47"/>
      <c r="O7" s="47"/>
    </row>
    <row r="8">
      <c r="N8" s="47"/>
      <c r="O8" s="47"/>
    </row>
    <row r="9">
      <c r="N9" s="47"/>
      <c r="O9" s="47"/>
    </row>
    <row r="10">
      <c r="M10" s="42"/>
      <c r="N10" s="46" t="s">
        <v>328</v>
      </c>
      <c r="O10" s="47"/>
    </row>
    <row r="11">
      <c r="A11" s="1" t="s">
        <v>330</v>
      </c>
      <c r="M11" s="42"/>
      <c r="N11" s="48" t="s">
        <v>329</v>
      </c>
      <c r="O11" s="48">
        <v>3057.0</v>
      </c>
    </row>
    <row r="12">
      <c r="A12" s="44" t="s">
        <v>332</v>
      </c>
      <c r="B12" s="44" t="s">
        <v>333</v>
      </c>
      <c r="M12" s="42"/>
      <c r="N12" s="48" t="s">
        <v>331</v>
      </c>
      <c r="O12" s="48">
        <v>3123.0</v>
      </c>
    </row>
    <row r="13">
      <c r="A13" s="11" t="s">
        <v>521</v>
      </c>
      <c r="B13" s="31">
        <v>2599.0</v>
      </c>
      <c r="M13" s="42"/>
      <c r="N13" s="48" t="s">
        <v>334</v>
      </c>
      <c r="O13" s="48">
        <v>3430.0</v>
      </c>
    </row>
    <row r="14">
      <c r="A14" s="11" t="s">
        <v>339</v>
      </c>
      <c r="B14" s="31">
        <v>869.0</v>
      </c>
      <c r="M14" s="42"/>
      <c r="N14" s="48" t="s">
        <v>336</v>
      </c>
      <c r="O14" s="48">
        <v>3821.0</v>
      </c>
    </row>
    <row r="15">
      <c r="A15" s="11" t="s">
        <v>341</v>
      </c>
      <c r="B15" s="31">
        <v>52.0</v>
      </c>
      <c r="M15" s="42"/>
      <c r="N15" s="48" t="s">
        <v>338</v>
      </c>
      <c r="O15" s="48">
        <v>3743.0</v>
      </c>
    </row>
    <row r="16">
      <c r="M16" s="42"/>
      <c r="N16" s="48" t="s">
        <v>340</v>
      </c>
      <c r="O16" s="48">
        <v>4574.0</v>
      </c>
    </row>
    <row r="17">
      <c r="M17" s="42"/>
      <c r="N17" s="48" t="s">
        <v>342</v>
      </c>
      <c r="O17" s="48">
        <v>3809.0</v>
      </c>
    </row>
    <row r="18">
      <c r="M18" s="42"/>
      <c r="N18" s="48" t="s">
        <v>343</v>
      </c>
      <c r="O18" s="48">
        <v>1667.0</v>
      </c>
    </row>
    <row r="19">
      <c r="A19" s="28" t="s">
        <v>345</v>
      </c>
      <c r="M19" s="42"/>
      <c r="N19" s="48" t="s">
        <v>464</v>
      </c>
      <c r="O19" s="48">
        <v>688.0</v>
      </c>
    </row>
    <row r="20">
      <c r="N20" s="47"/>
      <c r="O20" s="47"/>
    </row>
    <row r="21">
      <c r="A21" s="1" t="s">
        <v>347</v>
      </c>
      <c r="N21" s="47"/>
      <c r="O21" s="47"/>
    </row>
    <row r="22">
      <c r="A22" s="44" t="s">
        <v>332</v>
      </c>
      <c r="B22" s="44" t="s">
        <v>333</v>
      </c>
      <c r="M22" s="42"/>
      <c r="N22" s="46" t="s">
        <v>346</v>
      </c>
      <c r="O22" s="47"/>
    </row>
    <row r="23">
      <c r="A23" s="11" t="s">
        <v>522</v>
      </c>
      <c r="B23" s="31">
        <v>680.0</v>
      </c>
      <c r="M23" s="42"/>
      <c r="N23" s="48" t="s">
        <v>348</v>
      </c>
      <c r="O23" s="48">
        <v>14620.0</v>
      </c>
    </row>
    <row r="24">
      <c r="A24" s="11" t="s">
        <v>523</v>
      </c>
      <c r="B24" s="31">
        <v>663.0</v>
      </c>
      <c r="M24" s="42"/>
      <c r="N24" s="48" t="s">
        <v>349</v>
      </c>
      <c r="O24" s="48">
        <v>356.0</v>
      </c>
    </row>
    <row r="25">
      <c r="A25" s="11" t="s">
        <v>339</v>
      </c>
      <c r="B25" s="31">
        <v>254.0</v>
      </c>
      <c r="M25" s="42"/>
      <c r="N25" s="48" t="s">
        <v>351</v>
      </c>
      <c r="O25" s="48">
        <v>99.0</v>
      </c>
    </row>
    <row r="26">
      <c r="A26" s="11" t="s">
        <v>341</v>
      </c>
      <c r="B26" s="31">
        <v>79.0</v>
      </c>
      <c r="M26" s="42"/>
      <c r="N26" s="48" t="s">
        <v>352</v>
      </c>
      <c r="O26" s="48">
        <v>32.0</v>
      </c>
    </row>
    <row r="27">
      <c r="M27" s="42"/>
      <c r="N27" s="48" t="s">
        <v>353</v>
      </c>
      <c r="O27" s="48">
        <v>170.0</v>
      </c>
    </row>
    <row r="28">
      <c r="M28" s="42"/>
      <c r="N28" s="48" t="s">
        <v>354</v>
      </c>
      <c r="O28" s="48">
        <v>3777.0</v>
      </c>
    </row>
    <row r="29">
      <c r="M29" s="42"/>
      <c r="N29" s="48" t="s">
        <v>355</v>
      </c>
      <c r="O29" s="48">
        <v>615.0</v>
      </c>
    </row>
    <row r="30">
      <c r="A30" s="1" t="s">
        <v>357</v>
      </c>
      <c r="M30" s="42"/>
      <c r="N30" s="48" t="s">
        <v>356</v>
      </c>
      <c r="O30" s="48">
        <v>154.0</v>
      </c>
    </row>
    <row r="31">
      <c r="A31" s="44" t="s">
        <v>332</v>
      </c>
      <c r="B31" s="44" t="s">
        <v>333</v>
      </c>
      <c r="M31" s="42"/>
      <c r="N31" s="48" t="s">
        <v>358</v>
      </c>
      <c r="O31" s="48">
        <v>256.0</v>
      </c>
    </row>
    <row r="32">
      <c r="A32" s="11" t="s">
        <v>521</v>
      </c>
      <c r="B32" s="31">
        <v>2716.0</v>
      </c>
      <c r="M32" s="42"/>
      <c r="N32" s="48" t="s">
        <v>359</v>
      </c>
      <c r="O32" s="48">
        <v>402.0</v>
      </c>
    </row>
    <row r="33">
      <c r="A33" s="11" t="s">
        <v>524</v>
      </c>
      <c r="B33" s="31">
        <v>972.0</v>
      </c>
      <c r="M33" s="42"/>
      <c r="N33" s="48" t="s">
        <v>360</v>
      </c>
      <c r="O33" s="48">
        <v>10.0</v>
      </c>
    </row>
    <row r="34">
      <c r="A34" s="11" t="s">
        <v>339</v>
      </c>
      <c r="B34" s="31">
        <v>661.0</v>
      </c>
      <c r="M34" s="42"/>
      <c r="N34" s="48" t="s">
        <v>361</v>
      </c>
      <c r="O34" s="48">
        <v>503.0</v>
      </c>
    </row>
    <row r="35">
      <c r="A35" s="11" t="s">
        <v>341</v>
      </c>
      <c r="B35" s="31">
        <v>89.0</v>
      </c>
      <c r="M35" s="42"/>
      <c r="N35" s="48" t="s">
        <v>363</v>
      </c>
      <c r="O35" s="48">
        <v>4.0</v>
      </c>
    </row>
    <row r="36">
      <c r="M36" s="42"/>
      <c r="N36" s="48" t="s">
        <v>364</v>
      </c>
      <c r="O36" s="48">
        <v>204.0</v>
      </c>
    </row>
    <row r="37">
      <c r="M37" s="42"/>
      <c r="N37" s="48" t="s">
        <v>365</v>
      </c>
      <c r="O37" s="48">
        <v>806.0</v>
      </c>
    </row>
    <row r="38">
      <c r="M38" s="42"/>
      <c r="N38" s="48" t="s">
        <v>366</v>
      </c>
      <c r="O38" s="48">
        <v>73.0</v>
      </c>
    </row>
    <row r="39">
      <c r="M39" s="42"/>
      <c r="N39" s="48" t="s">
        <v>367</v>
      </c>
      <c r="O39" s="48">
        <v>403.0</v>
      </c>
    </row>
    <row r="40">
      <c r="M40" s="42"/>
      <c r="N40" s="48" t="s">
        <v>368</v>
      </c>
      <c r="O40" s="48">
        <v>1144.0</v>
      </c>
    </row>
    <row r="41">
      <c r="M41" s="42"/>
      <c r="N41" s="48" t="s">
        <v>369</v>
      </c>
      <c r="O41" s="48">
        <v>1021.0</v>
      </c>
    </row>
    <row r="42">
      <c r="M42" s="42"/>
      <c r="N42" s="48" t="s">
        <v>370</v>
      </c>
      <c r="O42" s="48">
        <v>20.0</v>
      </c>
    </row>
    <row r="43">
      <c r="N43" s="47"/>
      <c r="O43" s="47"/>
    </row>
    <row r="44">
      <c r="N44" s="47"/>
      <c r="O44" s="47"/>
    </row>
    <row r="45">
      <c r="M45" s="42"/>
      <c r="N45" s="46" t="s">
        <v>372</v>
      </c>
      <c r="O45" s="47"/>
    </row>
    <row r="46">
      <c r="M46" s="42"/>
      <c r="N46" s="48" t="s">
        <v>373</v>
      </c>
      <c r="O46" s="48">
        <v>0.26</v>
      </c>
    </row>
    <row r="47">
      <c r="M47" s="42"/>
      <c r="N47" s="48" t="s">
        <v>465</v>
      </c>
      <c r="O47" s="48">
        <v>0.28600000000000003</v>
      </c>
    </row>
    <row r="48">
      <c r="M48" s="42"/>
      <c r="N48" s="48" t="s">
        <v>466</v>
      </c>
      <c r="O48" s="48">
        <v>0.181</v>
      </c>
    </row>
    <row r="49">
      <c r="M49" s="42"/>
      <c r="N49" s="48" t="s">
        <v>467</v>
      </c>
      <c r="O49" s="48">
        <v>0.102</v>
      </c>
    </row>
    <row r="50">
      <c r="M50" s="42"/>
      <c r="N50" s="48" t="s">
        <v>377</v>
      </c>
      <c r="O50" s="48">
        <v>0.171</v>
      </c>
    </row>
    <row r="51">
      <c r="N51" s="47"/>
      <c r="O51" s="47"/>
    </row>
    <row r="52">
      <c r="N52" s="47"/>
      <c r="O52" s="47"/>
    </row>
    <row r="53">
      <c r="N53" s="47"/>
      <c r="O53" s="47"/>
    </row>
    <row r="54">
      <c r="N54" s="47"/>
      <c r="O54" s="47"/>
    </row>
    <row r="55">
      <c r="N55" s="47"/>
      <c r="O55" s="47"/>
    </row>
    <row r="56">
      <c r="N56" s="47"/>
      <c r="O56" s="47"/>
    </row>
    <row r="57">
      <c r="N57" s="47"/>
      <c r="O57" s="47"/>
    </row>
    <row r="58">
      <c r="N58" s="47"/>
      <c r="O58" s="47"/>
    </row>
    <row r="59">
      <c r="N59" s="47"/>
      <c r="O59" s="47"/>
    </row>
    <row r="60">
      <c r="N60" s="47"/>
      <c r="O60" s="47"/>
    </row>
    <row r="61">
      <c r="N61" s="47"/>
      <c r="O61" s="47"/>
    </row>
    <row r="62">
      <c r="N62" s="47"/>
      <c r="O62" s="47"/>
    </row>
    <row r="63">
      <c r="N63" s="47"/>
      <c r="O63" s="47"/>
    </row>
    <row r="64">
      <c r="N64" s="47"/>
      <c r="O64" s="47"/>
    </row>
    <row r="65">
      <c r="N65" s="47"/>
      <c r="O65" s="47"/>
    </row>
    <row r="66">
      <c r="N66" s="47"/>
      <c r="O66" s="47"/>
    </row>
    <row r="67">
      <c r="N67" s="47"/>
      <c r="O67" s="47"/>
    </row>
    <row r="68">
      <c r="N68" s="47"/>
      <c r="O68" s="47"/>
    </row>
    <row r="69">
      <c r="N69" s="47"/>
      <c r="O69" s="47"/>
    </row>
    <row r="70">
      <c r="N70" s="47"/>
      <c r="O70" s="47"/>
    </row>
    <row r="71">
      <c r="N71" s="47"/>
      <c r="O71" s="47"/>
    </row>
    <row r="72">
      <c r="N72" s="47"/>
      <c r="O72" s="47"/>
    </row>
    <row r="73">
      <c r="N73" s="47"/>
      <c r="O73" s="47"/>
    </row>
    <row r="74">
      <c r="N74" s="47"/>
      <c r="O74" s="47"/>
    </row>
    <row r="75">
      <c r="N75" s="47"/>
      <c r="O75" s="47"/>
    </row>
    <row r="76">
      <c r="N76" s="47"/>
      <c r="O76" s="47"/>
    </row>
    <row r="77">
      <c r="N77" s="47"/>
      <c r="O77" s="47"/>
    </row>
    <row r="78">
      <c r="N78" s="47"/>
      <c r="O78" s="47"/>
    </row>
    <row r="79">
      <c r="N79" s="47"/>
      <c r="O79" s="47"/>
    </row>
    <row r="80">
      <c r="N80" s="47"/>
      <c r="O80" s="47"/>
    </row>
    <row r="81">
      <c r="N81" s="47"/>
      <c r="O81" s="47"/>
    </row>
    <row r="82">
      <c r="N82" s="47"/>
      <c r="O82" s="47"/>
    </row>
    <row r="83">
      <c r="N83" s="47"/>
      <c r="O83" s="47"/>
    </row>
    <row r="84">
      <c r="N84" s="47"/>
      <c r="O84" s="47"/>
    </row>
    <row r="85">
      <c r="N85" s="47"/>
      <c r="O85" s="47"/>
    </row>
    <row r="86">
      <c r="N86" s="47"/>
      <c r="O86" s="47"/>
    </row>
    <row r="87">
      <c r="N87" s="47"/>
      <c r="O87" s="47"/>
    </row>
    <row r="88">
      <c r="N88" s="47"/>
      <c r="O88" s="47"/>
    </row>
    <row r="89">
      <c r="N89" s="47"/>
      <c r="O89" s="47"/>
    </row>
    <row r="90">
      <c r="N90" s="47"/>
      <c r="O90" s="47"/>
    </row>
    <row r="91">
      <c r="N91" s="47"/>
      <c r="O91" s="47"/>
    </row>
    <row r="92">
      <c r="N92" s="47"/>
      <c r="O92" s="47"/>
    </row>
    <row r="93">
      <c r="N93" s="47"/>
      <c r="O93" s="47"/>
    </row>
    <row r="94">
      <c r="N94" s="47"/>
      <c r="O94" s="47"/>
    </row>
    <row r="95">
      <c r="N95" s="47"/>
      <c r="O95" s="47"/>
    </row>
    <row r="96">
      <c r="N96" s="47"/>
      <c r="O96" s="47"/>
    </row>
    <row r="97">
      <c r="N97" s="47"/>
      <c r="O97" s="47"/>
    </row>
    <row r="98">
      <c r="N98" s="47"/>
      <c r="O98" s="47"/>
    </row>
    <row r="99">
      <c r="N99" s="47"/>
      <c r="O99" s="47"/>
    </row>
    <row r="100">
      <c r="N100" s="47"/>
      <c r="O100" s="47"/>
    </row>
    <row r="101">
      <c r="N101" s="47"/>
      <c r="O101" s="47"/>
    </row>
    <row r="102">
      <c r="N102" s="47"/>
      <c r="O102" s="47"/>
    </row>
    <row r="103">
      <c r="N103" s="47"/>
      <c r="O103" s="47"/>
    </row>
    <row r="104">
      <c r="N104" s="47"/>
      <c r="O104" s="47"/>
    </row>
    <row r="105">
      <c r="N105" s="47"/>
      <c r="O105" s="47"/>
    </row>
    <row r="106">
      <c r="N106" s="47"/>
      <c r="O106" s="47"/>
    </row>
    <row r="107">
      <c r="N107" s="47"/>
      <c r="O107" s="47"/>
    </row>
    <row r="108">
      <c r="N108" s="47"/>
      <c r="O108" s="47"/>
    </row>
    <row r="109">
      <c r="N109" s="47"/>
      <c r="O109" s="47"/>
    </row>
    <row r="110">
      <c r="N110" s="47"/>
      <c r="O110" s="47"/>
    </row>
    <row r="111">
      <c r="N111" s="47"/>
      <c r="O111" s="47"/>
    </row>
    <row r="112">
      <c r="N112" s="47"/>
      <c r="O112" s="47"/>
    </row>
    <row r="113">
      <c r="N113" s="47"/>
      <c r="O113" s="47"/>
    </row>
    <row r="114">
      <c r="N114" s="47"/>
      <c r="O114" s="47"/>
    </row>
    <row r="115">
      <c r="N115" s="47"/>
      <c r="O115" s="47"/>
    </row>
    <row r="116">
      <c r="N116" s="47"/>
      <c r="O116" s="47"/>
    </row>
    <row r="117">
      <c r="N117" s="47"/>
      <c r="O117" s="47"/>
    </row>
    <row r="118">
      <c r="N118" s="47"/>
      <c r="O118" s="47"/>
    </row>
    <row r="119">
      <c r="N119" s="47"/>
      <c r="O119" s="47"/>
    </row>
    <row r="120">
      <c r="N120" s="47"/>
      <c r="O120" s="47"/>
    </row>
    <row r="121">
      <c r="N121" s="47"/>
      <c r="O121" s="47"/>
    </row>
    <row r="122">
      <c r="N122" s="47"/>
      <c r="O122" s="47"/>
    </row>
    <row r="123">
      <c r="N123" s="47"/>
      <c r="O123" s="47"/>
    </row>
    <row r="124">
      <c r="N124" s="47"/>
      <c r="O124" s="47"/>
    </row>
    <row r="125">
      <c r="N125" s="47"/>
      <c r="O125" s="47"/>
    </row>
    <row r="126">
      <c r="N126" s="47"/>
      <c r="O126" s="47"/>
    </row>
    <row r="127">
      <c r="N127" s="47"/>
      <c r="O127" s="47"/>
    </row>
    <row r="128">
      <c r="N128" s="47"/>
      <c r="O128" s="47"/>
    </row>
    <row r="129">
      <c r="N129" s="47"/>
      <c r="O129" s="47"/>
    </row>
    <row r="130">
      <c r="N130" s="47"/>
      <c r="O130" s="47"/>
    </row>
    <row r="131">
      <c r="N131" s="47"/>
      <c r="O131" s="47"/>
    </row>
    <row r="132">
      <c r="N132" s="47"/>
      <c r="O132" s="47"/>
    </row>
    <row r="133">
      <c r="N133" s="47"/>
      <c r="O133" s="47"/>
    </row>
    <row r="134">
      <c r="N134" s="47"/>
      <c r="O134" s="47"/>
    </row>
    <row r="135">
      <c r="N135" s="47"/>
      <c r="O135" s="47"/>
    </row>
    <row r="136">
      <c r="N136" s="47"/>
      <c r="O136" s="47"/>
    </row>
    <row r="137">
      <c r="N137" s="47"/>
      <c r="O137" s="47"/>
    </row>
    <row r="138">
      <c r="N138" s="47"/>
      <c r="O138" s="47"/>
    </row>
    <row r="139">
      <c r="N139" s="47"/>
      <c r="O139" s="47"/>
    </row>
    <row r="140">
      <c r="N140" s="47"/>
      <c r="O140" s="47"/>
    </row>
    <row r="141">
      <c r="N141" s="47"/>
      <c r="O141" s="47"/>
    </row>
    <row r="142">
      <c r="N142" s="47"/>
      <c r="O142" s="47"/>
    </row>
    <row r="143">
      <c r="N143" s="47"/>
      <c r="O143" s="47"/>
    </row>
    <row r="144">
      <c r="N144" s="47"/>
      <c r="O144" s="47"/>
    </row>
    <row r="145">
      <c r="N145" s="47"/>
      <c r="O145" s="47"/>
    </row>
    <row r="146">
      <c r="N146" s="47"/>
      <c r="O146" s="47"/>
    </row>
    <row r="147">
      <c r="N147" s="47"/>
      <c r="O147" s="47"/>
    </row>
    <row r="148">
      <c r="N148" s="47"/>
      <c r="O148" s="47"/>
    </row>
    <row r="149">
      <c r="N149" s="47"/>
      <c r="O149" s="47"/>
    </row>
    <row r="150">
      <c r="N150" s="47"/>
      <c r="O150" s="47"/>
    </row>
    <row r="151">
      <c r="N151" s="47"/>
      <c r="O151" s="47"/>
    </row>
    <row r="152">
      <c r="N152" s="47"/>
      <c r="O152" s="47"/>
    </row>
    <row r="153">
      <c r="N153" s="47"/>
      <c r="O153" s="47"/>
    </row>
    <row r="154">
      <c r="N154" s="47"/>
      <c r="O154" s="47"/>
    </row>
    <row r="155">
      <c r="N155" s="47"/>
      <c r="O155" s="47"/>
    </row>
    <row r="156">
      <c r="N156" s="47"/>
      <c r="O156" s="47"/>
    </row>
    <row r="157">
      <c r="N157" s="47"/>
      <c r="O157" s="47"/>
    </row>
    <row r="158">
      <c r="N158" s="47"/>
      <c r="O158" s="47"/>
    </row>
    <row r="159">
      <c r="N159" s="47"/>
      <c r="O159" s="47"/>
    </row>
    <row r="160">
      <c r="N160" s="47"/>
      <c r="O160" s="47"/>
    </row>
    <row r="161">
      <c r="N161" s="47"/>
      <c r="O161" s="47"/>
    </row>
    <row r="162">
      <c r="N162" s="47"/>
      <c r="O162" s="47"/>
    </row>
    <row r="163">
      <c r="N163" s="47"/>
      <c r="O163" s="47"/>
    </row>
    <row r="164">
      <c r="N164" s="47"/>
      <c r="O164" s="47"/>
    </row>
    <row r="165">
      <c r="N165" s="47"/>
      <c r="O165" s="47"/>
    </row>
    <row r="166">
      <c r="N166" s="47"/>
      <c r="O166" s="47"/>
    </row>
    <row r="167">
      <c r="N167" s="47"/>
      <c r="O167" s="47"/>
    </row>
    <row r="168">
      <c r="N168" s="47"/>
      <c r="O168" s="47"/>
    </row>
    <row r="169">
      <c r="N169" s="47"/>
      <c r="O169" s="47"/>
    </row>
    <row r="170">
      <c r="N170" s="47"/>
      <c r="O170" s="47"/>
    </row>
    <row r="171">
      <c r="N171" s="47"/>
      <c r="O171" s="47"/>
    </row>
    <row r="172">
      <c r="N172" s="47"/>
      <c r="O172" s="47"/>
    </row>
    <row r="173">
      <c r="N173" s="47"/>
      <c r="O173" s="47"/>
    </row>
    <row r="174">
      <c r="N174" s="47"/>
      <c r="O174" s="47"/>
    </row>
    <row r="175">
      <c r="N175" s="47"/>
      <c r="O175" s="47"/>
    </row>
    <row r="176">
      <c r="N176" s="47"/>
      <c r="O176" s="47"/>
    </row>
    <row r="177">
      <c r="N177" s="47"/>
      <c r="O177" s="47"/>
    </row>
    <row r="178">
      <c r="N178" s="47"/>
      <c r="O178" s="47"/>
    </row>
    <row r="179">
      <c r="N179" s="47"/>
      <c r="O179" s="47"/>
    </row>
    <row r="180">
      <c r="N180" s="47"/>
      <c r="O180" s="47"/>
    </row>
    <row r="181">
      <c r="N181" s="47"/>
      <c r="O181" s="47"/>
    </row>
    <row r="182">
      <c r="N182" s="47"/>
      <c r="O182" s="47"/>
    </row>
    <row r="183">
      <c r="N183" s="47"/>
      <c r="O183" s="47"/>
    </row>
    <row r="184">
      <c r="N184" s="47"/>
      <c r="O184" s="47"/>
    </row>
    <row r="185">
      <c r="N185" s="47"/>
      <c r="O185" s="47"/>
    </row>
    <row r="186">
      <c r="N186" s="47"/>
      <c r="O186" s="47"/>
    </row>
    <row r="187">
      <c r="N187" s="47"/>
      <c r="O187" s="47"/>
    </row>
    <row r="188">
      <c r="N188" s="47"/>
      <c r="O188" s="47"/>
    </row>
    <row r="189">
      <c r="N189" s="47"/>
      <c r="O189" s="47"/>
    </row>
    <row r="190">
      <c r="N190" s="47"/>
      <c r="O190" s="47"/>
    </row>
    <row r="191">
      <c r="N191" s="47"/>
      <c r="O191" s="47"/>
    </row>
    <row r="192">
      <c r="N192" s="47"/>
      <c r="O192" s="47"/>
    </row>
    <row r="193">
      <c r="N193" s="47"/>
      <c r="O193" s="47"/>
    </row>
    <row r="194">
      <c r="N194" s="47"/>
      <c r="O194" s="47"/>
    </row>
    <row r="195">
      <c r="N195" s="47"/>
      <c r="O195" s="47"/>
    </row>
    <row r="196">
      <c r="N196" s="47"/>
      <c r="O196" s="47"/>
    </row>
    <row r="197">
      <c r="N197" s="47"/>
      <c r="O197" s="47"/>
    </row>
    <row r="198">
      <c r="N198" s="47"/>
      <c r="O198" s="47"/>
    </row>
    <row r="199">
      <c r="N199" s="47"/>
      <c r="O199" s="47"/>
    </row>
    <row r="200">
      <c r="N200" s="47"/>
      <c r="O200" s="47"/>
    </row>
    <row r="201">
      <c r="N201" s="47"/>
      <c r="O201" s="47"/>
    </row>
    <row r="202">
      <c r="N202" s="47"/>
      <c r="O202" s="47"/>
    </row>
    <row r="203">
      <c r="N203" s="47"/>
      <c r="O203" s="47"/>
    </row>
    <row r="204">
      <c r="N204" s="47"/>
      <c r="O204" s="47"/>
    </row>
    <row r="205">
      <c r="N205" s="47"/>
      <c r="O205" s="47"/>
    </row>
    <row r="206">
      <c r="N206" s="47"/>
      <c r="O206" s="47"/>
    </row>
    <row r="207">
      <c r="N207" s="47"/>
      <c r="O207" s="47"/>
    </row>
    <row r="208">
      <c r="N208" s="47"/>
      <c r="O208" s="47"/>
    </row>
    <row r="209">
      <c r="N209" s="47"/>
      <c r="O209" s="47"/>
    </row>
    <row r="210">
      <c r="N210" s="47"/>
      <c r="O210" s="47"/>
    </row>
    <row r="211">
      <c r="N211" s="47"/>
      <c r="O211" s="47"/>
    </row>
    <row r="212">
      <c r="N212" s="47"/>
      <c r="O212" s="47"/>
    </row>
    <row r="213">
      <c r="N213" s="47"/>
      <c r="O213" s="47"/>
    </row>
    <row r="214">
      <c r="N214" s="47"/>
      <c r="O214" s="47"/>
    </row>
    <row r="215">
      <c r="N215" s="47"/>
      <c r="O215" s="47"/>
    </row>
    <row r="216">
      <c r="N216" s="47"/>
      <c r="O216" s="47"/>
    </row>
    <row r="217">
      <c r="N217" s="47"/>
      <c r="O217" s="47"/>
    </row>
    <row r="218">
      <c r="N218" s="47"/>
      <c r="O218" s="47"/>
    </row>
    <row r="219">
      <c r="N219" s="47"/>
      <c r="O219" s="47"/>
    </row>
    <row r="220">
      <c r="N220" s="47"/>
      <c r="O220" s="47"/>
    </row>
    <row r="221">
      <c r="N221" s="47"/>
      <c r="O221" s="47"/>
    </row>
    <row r="222">
      <c r="N222" s="47"/>
      <c r="O222" s="47"/>
    </row>
    <row r="223">
      <c r="N223" s="47"/>
      <c r="O223" s="47"/>
    </row>
    <row r="224">
      <c r="N224" s="47"/>
      <c r="O224" s="47"/>
    </row>
    <row r="225">
      <c r="N225" s="47"/>
      <c r="O225" s="47"/>
    </row>
    <row r="226">
      <c r="N226" s="47"/>
      <c r="O226" s="47"/>
    </row>
    <row r="227">
      <c r="N227" s="47"/>
      <c r="O227" s="47"/>
    </row>
    <row r="228">
      <c r="N228" s="47"/>
      <c r="O228" s="47"/>
    </row>
    <row r="229">
      <c r="N229" s="47"/>
      <c r="O229" s="47"/>
    </row>
    <row r="230">
      <c r="N230" s="47"/>
      <c r="O230" s="47"/>
    </row>
    <row r="231">
      <c r="N231" s="47"/>
      <c r="O231" s="47"/>
    </row>
    <row r="232">
      <c r="N232" s="47"/>
      <c r="O232" s="47"/>
    </row>
    <row r="233">
      <c r="N233" s="47"/>
      <c r="O233" s="47"/>
    </row>
    <row r="234">
      <c r="N234" s="47"/>
      <c r="O234" s="47"/>
    </row>
    <row r="235">
      <c r="N235" s="47"/>
      <c r="O235" s="47"/>
    </row>
    <row r="236">
      <c r="N236" s="47"/>
      <c r="O236" s="47"/>
    </row>
    <row r="237">
      <c r="N237" s="47"/>
      <c r="O237" s="47"/>
    </row>
    <row r="238">
      <c r="N238" s="47"/>
      <c r="O238" s="47"/>
    </row>
    <row r="239">
      <c r="N239" s="47"/>
      <c r="O239" s="47"/>
    </row>
    <row r="240">
      <c r="N240" s="47"/>
      <c r="O240" s="47"/>
    </row>
    <row r="241">
      <c r="N241" s="47"/>
      <c r="O241" s="47"/>
    </row>
    <row r="242">
      <c r="N242" s="47"/>
      <c r="O242" s="47"/>
    </row>
    <row r="243">
      <c r="N243" s="47"/>
      <c r="O243" s="47"/>
    </row>
    <row r="244">
      <c r="N244" s="47"/>
      <c r="O244" s="47"/>
    </row>
    <row r="245">
      <c r="N245" s="47"/>
      <c r="O245" s="47"/>
    </row>
    <row r="246">
      <c r="N246" s="47"/>
      <c r="O246" s="47"/>
    </row>
    <row r="247">
      <c r="N247" s="47"/>
      <c r="O247" s="47"/>
    </row>
    <row r="248">
      <c r="N248" s="47"/>
      <c r="O248" s="47"/>
    </row>
    <row r="249">
      <c r="N249" s="47"/>
      <c r="O249" s="47"/>
    </row>
    <row r="250">
      <c r="N250" s="47"/>
      <c r="O250" s="47"/>
    </row>
    <row r="251">
      <c r="N251" s="47"/>
      <c r="O251" s="47"/>
    </row>
    <row r="252">
      <c r="N252" s="47"/>
      <c r="O252" s="47"/>
    </row>
    <row r="253">
      <c r="N253" s="47"/>
      <c r="O253" s="47"/>
    </row>
    <row r="254">
      <c r="N254" s="47"/>
      <c r="O254" s="47"/>
    </row>
    <row r="255">
      <c r="N255" s="47"/>
      <c r="O255" s="47"/>
    </row>
    <row r="256">
      <c r="N256" s="47"/>
      <c r="O256" s="47"/>
    </row>
    <row r="257">
      <c r="N257" s="47"/>
      <c r="O257" s="47"/>
    </row>
    <row r="258">
      <c r="N258" s="47"/>
      <c r="O258" s="47"/>
    </row>
    <row r="259">
      <c r="N259" s="47"/>
      <c r="O259" s="47"/>
    </row>
    <row r="260">
      <c r="N260" s="47"/>
      <c r="O260" s="47"/>
    </row>
    <row r="261">
      <c r="N261" s="47"/>
      <c r="O261" s="47"/>
    </row>
    <row r="262">
      <c r="N262" s="47"/>
      <c r="O262" s="47"/>
    </row>
    <row r="263">
      <c r="N263" s="47"/>
      <c r="O263" s="47"/>
    </row>
    <row r="264">
      <c r="N264" s="47"/>
      <c r="O264" s="47"/>
    </row>
    <row r="265">
      <c r="N265" s="47"/>
      <c r="O265" s="47"/>
    </row>
    <row r="266">
      <c r="N266" s="47"/>
      <c r="O266" s="47"/>
    </row>
    <row r="267">
      <c r="N267" s="47"/>
      <c r="O267" s="47"/>
    </row>
    <row r="268">
      <c r="N268" s="47"/>
      <c r="O268" s="47"/>
    </row>
    <row r="269">
      <c r="N269" s="47"/>
      <c r="O269" s="47"/>
    </row>
    <row r="270">
      <c r="N270" s="47"/>
      <c r="O270" s="47"/>
    </row>
    <row r="271">
      <c r="N271" s="47"/>
      <c r="O271" s="47"/>
    </row>
    <row r="272">
      <c r="N272" s="47"/>
      <c r="O272" s="47"/>
    </row>
    <row r="273">
      <c r="N273" s="47"/>
      <c r="O273" s="47"/>
    </row>
    <row r="274">
      <c r="N274" s="47"/>
      <c r="O274" s="47"/>
    </row>
    <row r="275">
      <c r="N275" s="47"/>
      <c r="O275" s="47"/>
    </row>
    <row r="276">
      <c r="N276" s="47"/>
      <c r="O276" s="47"/>
    </row>
    <row r="277">
      <c r="N277" s="47"/>
      <c r="O277" s="47"/>
    </row>
    <row r="278">
      <c r="N278" s="47"/>
      <c r="O278" s="47"/>
    </row>
    <row r="279">
      <c r="N279" s="47"/>
      <c r="O279" s="47"/>
    </row>
    <row r="280">
      <c r="N280" s="47"/>
      <c r="O280" s="47"/>
    </row>
    <row r="281">
      <c r="N281" s="47"/>
      <c r="O281" s="47"/>
    </row>
    <row r="282">
      <c r="N282" s="47"/>
      <c r="O282" s="47"/>
    </row>
    <row r="283">
      <c r="N283" s="47"/>
      <c r="O283" s="47"/>
    </row>
    <row r="284">
      <c r="N284" s="47"/>
      <c r="O284" s="47"/>
    </row>
    <row r="285">
      <c r="N285" s="47"/>
      <c r="O285" s="47"/>
    </row>
    <row r="286">
      <c r="N286" s="47"/>
      <c r="O286" s="47"/>
    </row>
    <row r="287">
      <c r="N287" s="47"/>
      <c r="O287" s="47"/>
    </row>
    <row r="288">
      <c r="N288" s="47"/>
      <c r="O288" s="47"/>
    </row>
    <row r="289">
      <c r="N289" s="47"/>
      <c r="O289" s="47"/>
    </row>
    <row r="290">
      <c r="N290" s="47"/>
      <c r="O290" s="47"/>
    </row>
    <row r="291">
      <c r="N291" s="47"/>
      <c r="O291" s="47"/>
    </row>
    <row r="292">
      <c r="N292" s="47"/>
      <c r="O292" s="47"/>
    </row>
    <row r="293">
      <c r="N293" s="47"/>
      <c r="O293" s="47"/>
    </row>
    <row r="294">
      <c r="N294" s="47"/>
      <c r="O294" s="47"/>
    </row>
    <row r="295">
      <c r="N295" s="47"/>
      <c r="O295" s="47"/>
    </row>
    <row r="296">
      <c r="N296" s="47"/>
      <c r="O296" s="47"/>
    </row>
    <row r="297">
      <c r="N297" s="47"/>
      <c r="O297" s="47"/>
    </row>
    <row r="298">
      <c r="N298" s="47"/>
      <c r="O298" s="47"/>
    </row>
    <row r="299">
      <c r="N299" s="47"/>
      <c r="O299" s="47"/>
    </row>
    <row r="300">
      <c r="N300" s="47"/>
      <c r="O300" s="47"/>
    </row>
    <row r="301">
      <c r="N301" s="47"/>
      <c r="O301" s="47"/>
    </row>
    <row r="302">
      <c r="N302" s="47"/>
      <c r="O302" s="47"/>
    </row>
    <row r="303">
      <c r="N303" s="47"/>
      <c r="O303" s="47"/>
    </row>
    <row r="304">
      <c r="N304" s="47"/>
      <c r="O304" s="47"/>
    </row>
    <row r="305">
      <c r="N305" s="47"/>
      <c r="O305" s="47"/>
    </row>
    <row r="306">
      <c r="N306" s="47"/>
      <c r="O306" s="47"/>
    </row>
    <row r="307">
      <c r="N307" s="47"/>
      <c r="O307" s="47"/>
    </row>
    <row r="308">
      <c r="N308" s="47"/>
      <c r="O308" s="47"/>
    </row>
    <row r="309">
      <c r="N309" s="47"/>
      <c r="O309" s="47"/>
    </row>
    <row r="310">
      <c r="N310" s="47"/>
      <c r="O310" s="47"/>
    </row>
    <row r="311">
      <c r="N311" s="47"/>
      <c r="O311" s="47"/>
    </row>
    <row r="312">
      <c r="N312" s="47"/>
      <c r="O312" s="47"/>
    </row>
    <row r="313">
      <c r="N313" s="47"/>
      <c r="O313" s="47"/>
    </row>
    <row r="314">
      <c r="N314" s="47"/>
      <c r="O314" s="47"/>
    </row>
    <row r="315">
      <c r="N315" s="47"/>
      <c r="O315" s="47"/>
    </row>
    <row r="316">
      <c r="N316" s="47"/>
      <c r="O316" s="47"/>
    </row>
    <row r="317">
      <c r="N317" s="47"/>
      <c r="O317" s="47"/>
    </row>
    <row r="318">
      <c r="N318" s="47"/>
      <c r="O318" s="47"/>
    </row>
    <row r="319">
      <c r="N319" s="47"/>
      <c r="O319" s="47"/>
    </row>
    <row r="320">
      <c r="N320" s="47"/>
      <c r="O320" s="47"/>
    </row>
    <row r="321">
      <c r="N321" s="47"/>
      <c r="O321" s="47"/>
    </row>
    <row r="322">
      <c r="N322" s="47"/>
      <c r="O322" s="47"/>
    </row>
    <row r="323">
      <c r="N323" s="47"/>
      <c r="O323" s="47"/>
    </row>
    <row r="324">
      <c r="N324" s="47"/>
      <c r="O324" s="47"/>
    </row>
    <row r="325">
      <c r="N325" s="47"/>
      <c r="O325" s="47"/>
    </row>
    <row r="326">
      <c r="N326" s="47"/>
      <c r="O326" s="47"/>
    </row>
    <row r="327">
      <c r="N327" s="47"/>
      <c r="O327" s="47"/>
    </row>
    <row r="328">
      <c r="N328" s="47"/>
      <c r="O328" s="47"/>
    </row>
    <row r="329">
      <c r="N329" s="47"/>
      <c r="O329" s="47"/>
    </row>
    <row r="330">
      <c r="N330" s="47"/>
      <c r="O330" s="47"/>
    </row>
    <row r="331">
      <c r="N331" s="47"/>
      <c r="O331" s="47"/>
    </row>
    <row r="332">
      <c r="N332" s="47"/>
      <c r="O332" s="47"/>
    </row>
    <row r="333">
      <c r="N333" s="47"/>
      <c r="O333" s="47"/>
    </row>
    <row r="334">
      <c r="N334" s="47"/>
      <c r="O334" s="47"/>
    </row>
    <row r="335">
      <c r="N335" s="47"/>
      <c r="O335" s="47"/>
    </row>
    <row r="336">
      <c r="N336" s="47"/>
      <c r="O336" s="47"/>
    </row>
    <row r="337">
      <c r="N337" s="47"/>
      <c r="O337" s="47"/>
    </row>
    <row r="338">
      <c r="N338" s="47"/>
      <c r="O338" s="47"/>
    </row>
    <row r="339">
      <c r="N339" s="47"/>
      <c r="O339" s="47"/>
    </row>
    <row r="340">
      <c r="N340" s="47"/>
      <c r="O340" s="47"/>
    </row>
    <row r="341">
      <c r="N341" s="47"/>
      <c r="O341" s="47"/>
    </row>
    <row r="342">
      <c r="N342" s="47"/>
      <c r="O342" s="47"/>
    </row>
    <row r="343">
      <c r="N343" s="47"/>
      <c r="O343" s="47"/>
    </row>
    <row r="344">
      <c r="N344" s="47"/>
      <c r="O344" s="47"/>
    </row>
    <row r="345">
      <c r="N345" s="47"/>
      <c r="O345" s="47"/>
    </row>
    <row r="346">
      <c r="N346" s="47"/>
      <c r="O346" s="47"/>
    </row>
    <row r="347">
      <c r="N347" s="47"/>
      <c r="O347" s="47"/>
    </row>
    <row r="348">
      <c r="N348" s="47"/>
      <c r="O348" s="47"/>
    </row>
    <row r="349">
      <c r="N349" s="47"/>
      <c r="O349" s="47"/>
    </row>
    <row r="350">
      <c r="N350" s="47"/>
      <c r="O350" s="47"/>
    </row>
    <row r="351">
      <c r="N351" s="47"/>
      <c r="O351" s="47"/>
    </row>
    <row r="352">
      <c r="N352" s="47"/>
      <c r="O352" s="47"/>
    </row>
    <row r="353">
      <c r="N353" s="47"/>
      <c r="O353" s="47"/>
    </row>
    <row r="354">
      <c r="N354" s="47"/>
      <c r="O354" s="47"/>
    </row>
    <row r="355">
      <c r="N355" s="47"/>
      <c r="O355" s="47"/>
    </row>
    <row r="356">
      <c r="N356" s="47"/>
      <c r="O356" s="47"/>
    </row>
    <row r="357">
      <c r="N357" s="47"/>
      <c r="O357" s="47"/>
    </row>
    <row r="358">
      <c r="N358" s="47"/>
      <c r="O358" s="47"/>
    </row>
    <row r="359">
      <c r="N359" s="47"/>
      <c r="O359" s="47"/>
    </row>
    <row r="360">
      <c r="N360" s="47"/>
      <c r="O360" s="47"/>
    </row>
    <row r="361">
      <c r="N361" s="47"/>
      <c r="O361" s="47"/>
    </row>
    <row r="362">
      <c r="N362" s="47"/>
      <c r="O362" s="47"/>
    </row>
    <row r="363">
      <c r="N363" s="47"/>
      <c r="O363" s="47"/>
    </row>
    <row r="364">
      <c r="N364" s="47"/>
      <c r="O364" s="47"/>
    </row>
    <row r="365">
      <c r="N365" s="47"/>
      <c r="O365" s="47"/>
    </row>
    <row r="366">
      <c r="N366" s="47"/>
      <c r="O366" s="47"/>
    </row>
    <row r="367">
      <c r="N367" s="47"/>
      <c r="O367" s="47"/>
    </row>
    <row r="368">
      <c r="N368" s="47"/>
      <c r="O368" s="47"/>
    </row>
    <row r="369">
      <c r="N369" s="47"/>
      <c r="O369" s="47"/>
    </row>
    <row r="370">
      <c r="N370" s="47"/>
      <c r="O370" s="47"/>
    </row>
    <row r="371">
      <c r="N371" s="47"/>
      <c r="O371" s="47"/>
    </row>
    <row r="372">
      <c r="N372" s="47"/>
      <c r="O372" s="47"/>
    </row>
    <row r="373">
      <c r="N373" s="47"/>
      <c r="O373" s="47"/>
    </row>
    <row r="374">
      <c r="N374" s="47"/>
      <c r="O374" s="47"/>
    </row>
    <row r="375">
      <c r="N375" s="47"/>
      <c r="O375" s="47"/>
    </row>
    <row r="376">
      <c r="N376" s="47"/>
      <c r="O376" s="47"/>
    </row>
    <row r="377">
      <c r="N377" s="47"/>
      <c r="O377" s="47"/>
    </row>
    <row r="378">
      <c r="N378" s="47"/>
      <c r="O378" s="47"/>
    </row>
    <row r="379">
      <c r="N379" s="47"/>
      <c r="O379" s="47"/>
    </row>
    <row r="380">
      <c r="N380" s="47"/>
      <c r="O380" s="47"/>
    </row>
    <row r="381">
      <c r="N381" s="47"/>
      <c r="O381" s="47"/>
    </row>
    <row r="382">
      <c r="N382" s="47"/>
      <c r="O382" s="47"/>
    </row>
    <row r="383">
      <c r="N383" s="47"/>
      <c r="O383" s="47"/>
    </row>
    <row r="384">
      <c r="N384" s="47"/>
      <c r="O384" s="47"/>
    </row>
    <row r="385">
      <c r="N385" s="47"/>
      <c r="O385" s="47"/>
    </row>
    <row r="386">
      <c r="N386" s="47"/>
      <c r="O386" s="47"/>
    </row>
    <row r="387">
      <c r="N387" s="47"/>
      <c r="O387" s="47"/>
    </row>
    <row r="388">
      <c r="N388" s="47"/>
      <c r="O388" s="47"/>
    </row>
    <row r="389">
      <c r="N389" s="47"/>
      <c r="O389" s="47"/>
    </row>
    <row r="390">
      <c r="N390" s="47"/>
      <c r="O390" s="47"/>
    </row>
    <row r="391">
      <c r="N391" s="47"/>
      <c r="O391" s="47"/>
    </row>
    <row r="392">
      <c r="N392" s="47"/>
      <c r="O392" s="47"/>
    </row>
    <row r="393">
      <c r="N393" s="47"/>
      <c r="O393" s="47"/>
    </row>
    <row r="394">
      <c r="N394" s="47"/>
      <c r="O394" s="47"/>
    </row>
    <row r="395">
      <c r="N395" s="47"/>
      <c r="O395" s="47"/>
    </row>
    <row r="396">
      <c r="N396" s="47"/>
      <c r="O396" s="47"/>
    </row>
    <row r="397">
      <c r="N397" s="47"/>
      <c r="O397" s="47"/>
    </row>
    <row r="398">
      <c r="N398" s="47"/>
      <c r="O398" s="47"/>
    </row>
    <row r="399">
      <c r="N399" s="47"/>
      <c r="O399" s="47"/>
    </row>
    <row r="400">
      <c r="N400" s="47"/>
      <c r="O400" s="47"/>
    </row>
    <row r="401">
      <c r="N401" s="47"/>
      <c r="O401" s="47"/>
    </row>
    <row r="402">
      <c r="N402" s="47"/>
      <c r="O402" s="47"/>
    </row>
    <row r="403">
      <c r="N403" s="47"/>
      <c r="O403" s="47"/>
    </row>
    <row r="404">
      <c r="N404" s="47"/>
      <c r="O404" s="47"/>
    </row>
    <row r="405">
      <c r="N405" s="47"/>
      <c r="O405" s="47"/>
    </row>
    <row r="406">
      <c r="N406" s="47"/>
      <c r="O406" s="47"/>
    </row>
    <row r="407">
      <c r="N407" s="47"/>
      <c r="O407" s="47"/>
    </row>
    <row r="408">
      <c r="N408" s="47"/>
      <c r="O408" s="47"/>
    </row>
    <row r="409">
      <c r="N409" s="47"/>
      <c r="O409" s="47"/>
    </row>
    <row r="410">
      <c r="N410" s="47"/>
      <c r="O410" s="47"/>
    </row>
    <row r="411">
      <c r="N411" s="47"/>
      <c r="O411" s="47"/>
    </row>
    <row r="412">
      <c r="N412" s="47"/>
      <c r="O412" s="47"/>
    </row>
    <row r="413">
      <c r="N413" s="47"/>
      <c r="O413" s="47"/>
    </row>
    <row r="414">
      <c r="N414" s="47"/>
      <c r="O414" s="47"/>
    </row>
    <row r="415">
      <c r="N415" s="47"/>
      <c r="O415" s="47"/>
    </row>
    <row r="416">
      <c r="N416" s="47"/>
      <c r="O416" s="47"/>
    </row>
    <row r="417">
      <c r="N417" s="47"/>
      <c r="O417" s="47"/>
    </row>
    <row r="418">
      <c r="N418" s="47"/>
      <c r="O418" s="47"/>
    </row>
    <row r="419">
      <c r="N419" s="47"/>
      <c r="O419" s="47"/>
    </row>
    <row r="420">
      <c r="N420" s="47"/>
      <c r="O420" s="47"/>
    </row>
    <row r="421">
      <c r="N421" s="47"/>
      <c r="O421" s="47"/>
    </row>
    <row r="422">
      <c r="N422" s="47"/>
      <c r="O422" s="47"/>
    </row>
    <row r="423">
      <c r="N423" s="47"/>
      <c r="O423" s="47"/>
    </row>
    <row r="424">
      <c r="N424" s="47"/>
      <c r="O424" s="47"/>
    </row>
    <row r="425">
      <c r="N425" s="47"/>
      <c r="O425" s="47"/>
    </row>
    <row r="426">
      <c r="N426" s="47"/>
      <c r="O426" s="47"/>
    </row>
    <row r="427">
      <c r="N427" s="47"/>
      <c r="O427" s="47"/>
    </row>
    <row r="428">
      <c r="N428" s="47"/>
      <c r="O428" s="47"/>
    </row>
    <row r="429">
      <c r="N429" s="47"/>
      <c r="O429" s="47"/>
    </row>
    <row r="430">
      <c r="N430" s="47"/>
      <c r="O430" s="47"/>
    </row>
    <row r="431">
      <c r="N431" s="47"/>
      <c r="O431" s="47"/>
    </row>
    <row r="432">
      <c r="N432" s="47"/>
      <c r="O432" s="47"/>
    </row>
    <row r="433">
      <c r="N433" s="47"/>
      <c r="O433" s="47"/>
    </row>
    <row r="434">
      <c r="N434" s="47"/>
      <c r="O434" s="47"/>
    </row>
    <row r="435">
      <c r="N435" s="47"/>
      <c r="O435" s="47"/>
    </row>
    <row r="436">
      <c r="N436" s="47"/>
      <c r="O436" s="47"/>
    </row>
    <row r="437">
      <c r="N437" s="47"/>
      <c r="O437" s="47"/>
    </row>
    <row r="438">
      <c r="N438" s="47"/>
      <c r="O438" s="47"/>
    </row>
    <row r="439">
      <c r="N439" s="47"/>
      <c r="O439" s="47"/>
    </row>
    <row r="440">
      <c r="N440" s="47"/>
      <c r="O440" s="47"/>
    </row>
    <row r="441">
      <c r="N441" s="47"/>
      <c r="O441" s="47"/>
    </row>
    <row r="442">
      <c r="N442" s="47"/>
      <c r="O442" s="47"/>
    </row>
    <row r="443">
      <c r="N443" s="47"/>
      <c r="O443" s="47"/>
    </row>
    <row r="444">
      <c r="N444" s="47"/>
      <c r="O444" s="47"/>
    </row>
    <row r="445">
      <c r="N445" s="47"/>
      <c r="O445" s="47"/>
    </row>
    <row r="446">
      <c r="N446" s="47"/>
      <c r="O446" s="47"/>
    </row>
    <row r="447">
      <c r="N447" s="47"/>
      <c r="O447" s="47"/>
    </row>
    <row r="448">
      <c r="N448" s="47"/>
      <c r="O448" s="47"/>
    </row>
    <row r="449">
      <c r="N449" s="47"/>
      <c r="O449" s="47"/>
    </row>
    <row r="450">
      <c r="N450" s="47"/>
      <c r="O450" s="47"/>
    </row>
    <row r="451">
      <c r="N451" s="47"/>
      <c r="O451" s="47"/>
    </row>
    <row r="452">
      <c r="N452" s="47"/>
      <c r="O452" s="47"/>
    </row>
    <row r="453">
      <c r="N453" s="47"/>
      <c r="O453" s="47"/>
    </row>
    <row r="454">
      <c r="N454" s="47"/>
      <c r="O454" s="47"/>
    </row>
    <row r="455">
      <c r="N455" s="47"/>
      <c r="O455" s="47"/>
    </row>
    <row r="456">
      <c r="N456" s="47"/>
      <c r="O456" s="47"/>
    </row>
    <row r="457">
      <c r="N457" s="47"/>
      <c r="O457" s="47"/>
    </row>
    <row r="458">
      <c r="N458" s="47"/>
      <c r="O458" s="47"/>
    </row>
    <row r="459">
      <c r="N459" s="47"/>
      <c r="O459" s="47"/>
    </row>
    <row r="460">
      <c r="N460" s="47"/>
      <c r="O460" s="47"/>
    </row>
    <row r="461">
      <c r="N461" s="47"/>
      <c r="O461" s="47"/>
    </row>
    <row r="462">
      <c r="N462" s="47"/>
      <c r="O462" s="47"/>
    </row>
    <row r="463">
      <c r="N463" s="47"/>
      <c r="O463" s="47"/>
    </row>
    <row r="464">
      <c r="N464" s="47"/>
      <c r="O464" s="47"/>
    </row>
    <row r="465">
      <c r="N465" s="47"/>
      <c r="O465" s="47"/>
    </row>
    <row r="466">
      <c r="N466" s="47"/>
      <c r="O466" s="47"/>
    </row>
    <row r="467">
      <c r="N467" s="47"/>
      <c r="O467" s="47"/>
    </row>
    <row r="468">
      <c r="N468" s="47"/>
      <c r="O468" s="47"/>
    </row>
    <row r="469">
      <c r="N469" s="47"/>
      <c r="O469" s="47"/>
    </row>
    <row r="470">
      <c r="N470" s="47"/>
      <c r="O470" s="47"/>
    </row>
    <row r="471">
      <c r="N471" s="47"/>
      <c r="O471" s="47"/>
    </row>
    <row r="472">
      <c r="N472" s="47"/>
      <c r="O472" s="47"/>
    </row>
    <row r="473">
      <c r="N473" s="47"/>
      <c r="O473" s="47"/>
    </row>
    <row r="474">
      <c r="N474" s="47"/>
      <c r="O474" s="47"/>
    </row>
    <row r="475">
      <c r="N475" s="47"/>
      <c r="O475" s="47"/>
    </row>
    <row r="476">
      <c r="N476" s="47"/>
      <c r="O476" s="47"/>
    </row>
    <row r="477">
      <c r="N477" s="47"/>
      <c r="O477" s="47"/>
    </row>
    <row r="478">
      <c r="N478" s="47"/>
      <c r="O478" s="47"/>
    </row>
    <row r="479">
      <c r="N479" s="47"/>
      <c r="O479" s="47"/>
    </row>
    <row r="480">
      <c r="N480" s="47"/>
      <c r="O480" s="47"/>
    </row>
    <row r="481">
      <c r="N481" s="47"/>
      <c r="O481" s="47"/>
    </row>
    <row r="482">
      <c r="N482" s="47"/>
      <c r="O482" s="47"/>
    </row>
    <row r="483">
      <c r="N483" s="47"/>
      <c r="O483" s="47"/>
    </row>
    <row r="484">
      <c r="N484" s="47"/>
      <c r="O484" s="47"/>
    </row>
    <row r="485">
      <c r="N485" s="47"/>
      <c r="O485" s="47"/>
    </row>
    <row r="486">
      <c r="N486" s="47"/>
      <c r="O486" s="47"/>
    </row>
    <row r="487">
      <c r="N487" s="47"/>
      <c r="O487" s="47"/>
    </row>
    <row r="488">
      <c r="N488" s="47"/>
      <c r="O488" s="47"/>
    </row>
    <row r="489">
      <c r="N489" s="47"/>
      <c r="O489" s="47"/>
    </row>
    <row r="490">
      <c r="N490" s="47"/>
      <c r="O490" s="47"/>
    </row>
    <row r="491">
      <c r="N491" s="47"/>
      <c r="O491" s="47"/>
    </row>
    <row r="492">
      <c r="N492" s="47"/>
      <c r="O492" s="47"/>
    </row>
    <row r="493">
      <c r="N493" s="47"/>
      <c r="O493" s="47"/>
    </row>
    <row r="494">
      <c r="N494" s="47"/>
      <c r="O494" s="47"/>
    </row>
    <row r="495">
      <c r="N495" s="47"/>
      <c r="O495" s="47"/>
    </row>
    <row r="496">
      <c r="N496" s="47"/>
      <c r="O496" s="47"/>
    </row>
    <row r="497">
      <c r="N497" s="47"/>
      <c r="O497" s="47"/>
    </row>
    <row r="498">
      <c r="N498" s="47"/>
      <c r="O498" s="47"/>
    </row>
    <row r="499">
      <c r="N499" s="47"/>
      <c r="O499" s="47"/>
    </row>
    <row r="500">
      <c r="N500" s="47"/>
      <c r="O500" s="47"/>
    </row>
    <row r="501">
      <c r="N501" s="47"/>
      <c r="O501" s="47"/>
    </row>
    <row r="502">
      <c r="N502" s="47"/>
      <c r="O502" s="47"/>
    </row>
    <row r="503">
      <c r="N503" s="47"/>
      <c r="O503" s="47"/>
    </row>
    <row r="504">
      <c r="N504" s="47"/>
      <c r="O504" s="47"/>
    </row>
    <row r="505">
      <c r="N505" s="47"/>
      <c r="O505" s="47"/>
    </row>
    <row r="506">
      <c r="N506" s="47"/>
      <c r="O506" s="47"/>
    </row>
    <row r="507">
      <c r="N507" s="47"/>
      <c r="O507" s="47"/>
    </row>
    <row r="508">
      <c r="N508" s="47"/>
      <c r="O508" s="47"/>
    </row>
    <row r="509">
      <c r="N509" s="47"/>
      <c r="O509" s="47"/>
    </row>
    <row r="510">
      <c r="N510" s="47"/>
      <c r="O510" s="47"/>
    </row>
    <row r="511">
      <c r="N511" s="47"/>
      <c r="O511" s="47"/>
    </row>
    <row r="512">
      <c r="N512" s="47"/>
      <c r="O512" s="47"/>
    </row>
    <row r="513">
      <c r="N513" s="47"/>
      <c r="O513" s="47"/>
    </row>
    <row r="514">
      <c r="N514" s="47"/>
      <c r="O514" s="47"/>
    </row>
    <row r="515">
      <c r="N515" s="47"/>
      <c r="O515" s="47"/>
    </row>
    <row r="516">
      <c r="N516" s="47"/>
      <c r="O516" s="47"/>
    </row>
    <row r="517">
      <c r="N517" s="47"/>
      <c r="O517" s="47"/>
    </row>
    <row r="518">
      <c r="N518" s="47"/>
      <c r="O518" s="47"/>
    </row>
    <row r="519">
      <c r="N519" s="47"/>
      <c r="O519" s="47"/>
    </row>
    <row r="520">
      <c r="N520" s="47"/>
      <c r="O520" s="47"/>
    </row>
    <row r="521">
      <c r="N521" s="47"/>
      <c r="O521" s="47"/>
    </row>
    <row r="522">
      <c r="N522" s="47"/>
      <c r="O522" s="47"/>
    </row>
    <row r="523">
      <c r="N523" s="47"/>
      <c r="O523" s="47"/>
    </row>
    <row r="524">
      <c r="N524" s="47"/>
      <c r="O524" s="47"/>
    </row>
    <row r="525">
      <c r="N525" s="47"/>
      <c r="O525" s="47"/>
    </row>
    <row r="526">
      <c r="N526" s="47"/>
      <c r="O526" s="47"/>
    </row>
    <row r="527">
      <c r="N527" s="47"/>
      <c r="O527" s="47"/>
    </row>
    <row r="528">
      <c r="N528" s="47"/>
      <c r="O528" s="47"/>
    </row>
    <row r="529">
      <c r="N529" s="47"/>
      <c r="O529" s="47"/>
    </row>
    <row r="530">
      <c r="N530" s="47"/>
      <c r="O530" s="47"/>
    </row>
    <row r="531">
      <c r="N531" s="47"/>
      <c r="O531" s="47"/>
    </row>
    <row r="532">
      <c r="N532" s="47"/>
      <c r="O532" s="47"/>
    </row>
    <row r="533">
      <c r="N533" s="47"/>
      <c r="O533" s="47"/>
    </row>
    <row r="534">
      <c r="N534" s="47"/>
      <c r="O534" s="47"/>
    </row>
    <row r="535">
      <c r="N535" s="47"/>
      <c r="O535" s="47"/>
    </row>
    <row r="536">
      <c r="N536" s="47"/>
      <c r="O536" s="47"/>
    </row>
    <row r="537">
      <c r="N537" s="47"/>
      <c r="O537" s="47"/>
    </row>
    <row r="538">
      <c r="N538" s="47"/>
      <c r="O538" s="47"/>
    </row>
    <row r="539">
      <c r="N539" s="47"/>
      <c r="O539" s="47"/>
    </row>
    <row r="540">
      <c r="N540" s="47"/>
      <c r="O540" s="47"/>
    </row>
    <row r="541">
      <c r="N541" s="47"/>
      <c r="O541" s="47"/>
    </row>
    <row r="542">
      <c r="N542" s="47"/>
      <c r="O542" s="47"/>
    </row>
    <row r="543">
      <c r="N543" s="47"/>
      <c r="O543" s="47"/>
    </row>
    <row r="544">
      <c r="N544" s="47"/>
      <c r="O544" s="47"/>
    </row>
    <row r="545">
      <c r="N545" s="47"/>
      <c r="O545" s="47"/>
    </row>
    <row r="546">
      <c r="N546" s="47"/>
      <c r="O546" s="47"/>
    </row>
    <row r="547">
      <c r="N547" s="47"/>
      <c r="O547" s="47"/>
    </row>
    <row r="548">
      <c r="N548" s="47"/>
      <c r="O548" s="47"/>
    </row>
    <row r="549">
      <c r="N549" s="47"/>
      <c r="O549" s="47"/>
    </row>
    <row r="550">
      <c r="N550" s="47"/>
      <c r="O550" s="47"/>
    </row>
    <row r="551">
      <c r="N551" s="47"/>
      <c r="O551" s="47"/>
    </row>
    <row r="552">
      <c r="N552" s="47"/>
      <c r="O552" s="47"/>
    </row>
    <row r="553">
      <c r="N553" s="47"/>
      <c r="O553" s="47"/>
    </row>
    <row r="554">
      <c r="N554" s="47"/>
      <c r="O554" s="47"/>
    </row>
    <row r="555">
      <c r="N555" s="47"/>
      <c r="O555" s="47"/>
    </row>
    <row r="556">
      <c r="N556" s="47"/>
      <c r="O556" s="47"/>
    </row>
    <row r="557">
      <c r="N557" s="47"/>
      <c r="O557" s="47"/>
    </row>
    <row r="558">
      <c r="N558" s="47"/>
      <c r="O558" s="47"/>
    </row>
    <row r="559">
      <c r="N559" s="47"/>
      <c r="O559" s="47"/>
    </row>
    <row r="560">
      <c r="N560" s="47"/>
      <c r="O560" s="47"/>
    </row>
    <row r="561">
      <c r="N561" s="47"/>
      <c r="O561" s="47"/>
    </row>
    <row r="562">
      <c r="N562" s="47"/>
      <c r="O562" s="47"/>
    </row>
    <row r="563">
      <c r="N563" s="47"/>
      <c r="O563" s="47"/>
    </row>
    <row r="564">
      <c r="N564" s="47"/>
      <c r="O564" s="47"/>
    </row>
    <row r="565">
      <c r="N565" s="47"/>
      <c r="O565" s="47"/>
    </row>
    <row r="566">
      <c r="N566" s="47"/>
      <c r="O566" s="47"/>
    </row>
    <row r="567">
      <c r="N567" s="47"/>
      <c r="O567" s="47"/>
    </row>
    <row r="568">
      <c r="N568" s="47"/>
      <c r="O568" s="47"/>
    </row>
    <row r="569">
      <c r="N569" s="47"/>
      <c r="O569" s="47"/>
    </row>
    <row r="570">
      <c r="N570" s="47"/>
      <c r="O570" s="47"/>
    </row>
    <row r="571">
      <c r="N571" s="47"/>
      <c r="O571" s="47"/>
    </row>
    <row r="572">
      <c r="N572" s="47"/>
      <c r="O572" s="47"/>
    </row>
    <row r="573">
      <c r="N573" s="47"/>
      <c r="O573" s="47"/>
    </row>
    <row r="574">
      <c r="N574" s="47"/>
      <c r="O574" s="47"/>
    </row>
    <row r="575">
      <c r="N575" s="47"/>
      <c r="O575" s="47"/>
    </row>
    <row r="576">
      <c r="N576" s="47"/>
      <c r="O576" s="47"/>
    </row>
    <row r="577">
      <c r="N577" s="47"/>
      <c r="O577" s="47"/>
    </row>
    <row r="578">
      <c r="N578" s="47"/>
      <c r="O578" s="47"/>
    </row>
    <row r="579">
      <c r="N579" s="47"/>
      <c r="O579" s="47"/>
    </row>
    <row r="580">
      <c r="N580" s="47"/>
      <c r="O580" s="47"/>
    </row>
    <row r="581">
      <c r="N581" s="47"/>
      <c r="O581" s="47"/>
    </row>
    <row r="582">
      <c r="N582" s="47"/>
      <c r="O582" s="47"/>
    </row>
    <row r="583">
      <c r="N583" s="47"/>
      <c r="O583" s="47"/>
    </row>
    <row r="584">
      <c r="N584" s="47"/>
      <c r="O584" s="47"/>
    </row>
    <row r="585">
      <c r="N585" s="47"/>
      <c r="O585" s="47"/>
    </row>
    <row r="586">
      <c r="N586" s="47"/>
      <c r="O586" s="47"/>
    </row>
    <row r="587">
      <c r="N587" s="47"/>
      <c r="O587" s="47"/>
    </row>
    <row r="588">
      <c r="N588" s="47"/>
      <c r="O588" s="47"/>
    </row>
    <row r="589">
      <c r="N589" s="47"/>
      <c r="O589" s="47"/>
    </row>
    <row r="590">
      <c r="N590" s="47"/>
      <c r="O590" s="47"/>
    </row>
    <row r="591">
      <c r="N591" s="47"/>
      <c r="O591" s="47"/>
    </row>
    <row r="592">
      <c r="N592" s="47"/>
      <c r="O592" s="47"/>
    </row>
    <row r="593">
      <c r="N593" s="47"/>
      <c r="O593" s="47"/>
    </row>
    <row r="594">
      <c r="N594" s="47"/>
      <c r="O594" s="47"/>
    </row>
    <row r="595">
      <c r="N595" s="47"/>
      <c r="O595" s="47"/>
    </row>
    <row r="596">
      <c r="N596" s="47"/>
      <c r="O596" s="47"/>
    </row>
    <row r="597">
      <c r="N597" s="47"/>
      <c r="O597" s="47"/>
    </row>
    <row r="598">
      <c r="N598" s="47"/>
      <c r="O598" s="47"/>
    </row>
    <row r="599">
      <c r="N599" s="47"/>
      <c r="O599" s="47"/>
    </row>
    <row r="600">
      <c r="N600" s="47"/>
      <c r="O600" s="47"/>
    </row>
    <row r="601">
      <c r="N601" s="47"/>
      <c r="O601" s="47"/>
    </row>
    <row r="602">
      <c r="N602" s="47"/>
      <c r="O602" s="47"/>
    </row>
    <row r="603">
      <c r="N603" s="47"/>
      <c r="O603" s="47"/>
    </row>
    <row r="604">
      <c r="N604" s="47"/>
      <c r="O604" s="47"/>
    </row>
    <row r="605">
      <c r="N605" s="47"/>
      <c r="O605" s="47"/>
    </row>
    <row r="606">
      <c r="N606" s="47"/>
      <c r="O606" s="47"/>
    </row>
    <row r="607">
      <c r="N607" s="47"/>
      <c r="O607" s="47"/>
    </row>
    <row r="608">
      <c r="N608" s="47"/>
      <c r="O608" s="47"/>
    </row>
    <row r="609">
      <c r="N609" s="47"/>
      <c r="O609" s="47"/>
    </row>
    <row r="610">
      <c r="N610" s="47"/>
      <c r="O610" s="47"/>
    </row>
    <row r="611">
      <c r="N611" s="47"/>
      <c r="O611" s="47"/>
    </row>
    <row r="612">
      <c r="N612" s="47"/>
      <c r="O612" s="47"/>
    </row>
    <row r="613">
      <c r="N613" s="47"/>
      <c r="O613" s="47"/>
    </row>
    <row r="614">
      <c r="N614" s="47"/>
      <c r="O614" s="47"/>
    </row>
    <row r="615">
      <c r="N615" s="47"/>
      <c r="O615" s="47"/>
    </row>
    <row r="616">
      <c r="N616" s="47"/>
      <c r="O616" s="47"/>
    </row>
    <row r="617">
      <c r="N617" s="47"/>
      <c r="O617" s="47"/>
    </row>
    <row r="618">
      <c r="N618" s="47"/>
      <c r="O618" s="47"/>
    </row>
    <row r="619">
      <c r="N619" s="47"/>
      <c r="O619" s="47"/>
    </row>
    <row r="620">
      <c r="N620" s="47"/>
      <c r="O620" s="47"/>
    </row>
    <row r="621">
      <c r="N621" s="47"/>
      <c r="O621" s="47"/>
    </row>
    <row r="622">
      <c r="N622" s="47"/>
      <c r="O622" s="47"/>
    </row>
    <row r="623">
      <c r="N623" s="47"/>
      <c r="O623" s="47"/>
    </row>
    <row r="624">
      <c r="N624" s="47"/>
      <c r="O624" s="47"/>
    </row>
    <row r="625">
      <c r="N625" s="47"/>
      <c r="O625" s="47"/>
    </row>
    <row r="626">
      <c r="N626" s="47"/>
      <c r="O626" s="47"/>
    </row>
    <row r="627">
      <c r="N627" s="47"/>
      <c r="O627" s="47"/>
    </row>
    <row r="628">
      <c r="N628" s="47"/>
      <c r="O628" s="47"/>
    </row>
    <row r="629">
      <c r="N629" s="47"/>
      <c r="O629" s="47"/>
    </row>
    <row r="630">
      <c r="N630" s="47"/>
      <c r="O630" s="47"/>
    </row>
    <row r="631">
      <c r="N631" s="47"/>
      <c r="O631" s="47"/>
    </row>
    <row r="632">
      <c r="N632" s="47"/>
      <c r="O632" s="47"/>
    </row>
    <row r="633">
      <c r="N633" s="47"/>
      <c r="O633" s="47"/>
    </row>
    <row r="634">
      <c r="N634" s="47"/>
      <c r="O634" s="47"/>
    </row>
    <row r="635">
      <c r="N635" s="47"/>
      <c r="O635" s="47"/>
    </row>
    <row r="636">
      <c r="N636" s="47"/>
      <c r="O636" s="47"/>
    </row>
    <row r="637">
      <c r="N637" s="47"/>
      <c r="O637" s="47"/>
    </row>
    <row r="638">
      <c r="N638" s="47"/>
      <c r="O638" s="47"/>
    </row>
    <row r="639">
      <c r="N639" s="47"/>
      <c r="O639" s="47"/>
    </row>
    <row r="640">
      <c r="N640" s="47"/>
      <c r="O640" s="47"/>
    </row>
    <row r="641">
      <c r="N641" s="47"/>
      <c r="O641" s="47"/>
    </row>
    <row r="642">
      <c r="N642" s="47"/>
      <c r="O642" s="47"/>
    </row>
    <row r="643">
      <c r="N643" s="47"/>
      <c r="O643" s="47"/>
    </row>
    <row r="644">
      <c r="N644" s="47"/>
      <c r="O644" s="47"/>
    </row>
    <row r="645">
      <c r="N645" s="47"/>
      <c r="O645" s="47"/>
    </row>
    <row r="646">
      <c r="N646" s="47"/>
      <c r="O646" s="47"/>
    </row>
    <row r="647">
      <c r="N647" s="47"/>
      <c r="O647" s="47"/>
    </row>
    <row r="648">
      <c r="N648" s="47"/>
      <c r="O648" s="47"/>
    </row>
    <row r="649">
      <c r="N649" s="47"/>
      <c r="O649" s="47"/>
    </row>
    <row r="650">
      <c r="N650" s="47"/>
      <c r="O650" s="47"/>
    </row>
    <row r="651">
      <c r="N651" s="47"/>
      <c r="O651" s="47"/>
    </row>
    <row r="652">
      <c r="N652" s="47"/>
      <c r="O652" s="47"/>
    </row>
    <row r="653">
      <c r="N653" s="47"/>
      <c r="O653" s="47"/>
    </row>
    <row r="654">
      <c r="N654" s="47"/>
      <c r="O654" s="47"/>
    </row>
    <row r="655">
      <c r="N655" s="47"/>
      <c r="O655" s="47"/>
    </row>
    <row r="656">
      <c r="N656" s="47"/>
      <c r="O656" s="47"/>
    </row>
    <row r="657">
      <c r="N657" s="47"/>
      <c r="O657" s="47"/>
    </row>
    <row r="658">
      <c r="N658" s="47"/>
      <c r="O658" s="47"/>
    </row>
    <row r="659">
      <c r="N659" s="47"/>
      <c r="O659" s="47"/>
    </row>
    <row r="660">
      <c r="N660" s="47"/>
      <c r="O660" s="47"/>
    </row>
    <row r="661">
      <c r="N661" s="47"/>
      <c r="O661" s="47"/>
    </row>
    <row r="662">
      <c r="N662" s="47"/>
      <c r="O662" s="47"/>
    </row>
    <row r="663">
      <c r="N663" s="47"/>
      <c r="O663" s="47"/>
    </row>
    <row r="664">
      <c r="N664" s="47"/>
      <c r="O664" s="47"/>
    </row>
    <row r="665">
      <c r="N665" s="47"/>
      <c r="O665" s="47"/>
    </row>
    <row r="666">
      <c r="N666" s="47"/>
      <c r="O666" s="47"/>
    </row>
    <row r="667">
      <c r="N667" s="47"/>
      <c r="O667" s="47"/>
    </row>
    <row r="668">
      <c r="N668" s="47"/>
      <c r="O668" s="47"/>
    </row>
    <row r="669">
      <c r="N669" s="47"/>
      <c r="O669" s="47"/>
    </row>
    <row r="670">
      <c r="N670" s="47"/>
      <c r="O670" s="47"/>
    </row>
    <row r="671">
      <c r="N671" s="47"/>
      <c r="O671" s="47"/>
    </row>
    <row r="672">
      <c r="N672" s="47"/>
      <c r="O672" s="47"/>
    </row>
    <row r="673">
      <c r="N673" s="47"/>
      <c r="O673" s="47"/>
    </row>
    <row r="674">
      <c r="N674" s="47"/>
      <c r="O674" s="47"/>
    </row>
    <row r="675">
      <c r="N675" s="47"/>
      <c r="O675" s="47"/>
    </row>
    <row r="676">
      <c r="N676" s="47"/>
      <c r="O676" s="47"/>
    </row>
    <row r="677">
      <c r="N677" s="47"/>
      <c r="O677" s="47"/>
    </row>
    <row r="678">
      <c r="N678" s="47"/>
      <c r="O678" s="47"/>
    </row>
    <row r="679">
      <c r="N679" s="47"/>
      <c r="O679" s="47"/>
    </row>
    <row r="680">
      <c r="N680" s="47"/>
      <c r="O680" s="47"/>
    </row>
    <row r="681">
      <c r="N681" s="47"/>
      <c r="O681" s="47"/>
    </row>
    <row r="682">
      <c r="N682" s="47"/>
      <c r="O682" s="47"/>
    </row>
    <row r="683">
      <c r="N683" s="47"/>
      <c r="O683" s="47"/>
    </row>
    <row r="684">
      <c r="N684" s="47"/>
      <c r="O684" s="47"/>
    </row>
    <row r="685">
      <c r="N685" s="47"/>
      <c r="O685" s="47"/>
    </row>
    <row r="686">
      <c r="N686" s="47"/>
      <c r="O686" s="47"/>
    </row>
    <row r="687">
      <c r="N687" s="47"/>
      <c r="O687" s="47"/>
    </row>
    <row r="688">
      <c r="N688" s="47"/>
      <c r="O688" s="47"/>
    </row>
    <row r="689">
      <c r="N689" s="47"/>
      <c r="O689" s="47"/>
    </row>
    <row r="690">
      <c r="N690" s="47"/>
      <c r="O690" s="47"/>
    </row>
    <row r="691">
      <c r="N691" s="47"/>
      <c r="O691" s="47"/>
    </row>
    <row r="692">
      <c r="N692" s="47"/>
      <c r="O692" s="47"/>
    </row>
    <row r="693">
      <c r="N693" s="47"/>
      <c r="O693" s="47"/>
    </row>
    <row r="694">
      <c r="N694" s="47"/>
      <c r="O694" s="47"/>
    </row>
    <row r="695">
      <c r="N695" s="47"/>
      <c r="O695" s="47"/>
    </row>
    <row r="696">
      <c r="N696" s="47"/>
      <c r="O696" s="47"/>
    </row>
    <row r="697">
      <c r="N697" s="47"/>
      <c r="O697" s="47"/>
    </row>
    <row r="698">
      <c r="N698" s="47"/>
      <c r="O698" s="47"/>
    </row>
    <row r="699">
      <c r="N699" s="47"/>
      <c r="O699" s="47"/>
    </row>
    <row r="700">
      <c r="N700" s="47"/>
      <c r="O700" s="47"/>
    </row>
    <row r="701">
      <c r="N701" s="47"/>
      <c r="O701" s="47"/>
    </row>
    <row r="702">
      <c r="N702" s="47"/>
      <c r="O702" s="47"/>
    </row>
    <row r="703">
      <c r="N703" s="47"/>
      <c r="O703" s="47"/>
    </row>
    <row r="704">
      <c r="N704" s="47"/>
      <c r="O704" s="47"/>
    </row>
    <row r="705">
      <c r="N705" s="47"/>
      <c r="O705" s="47"/>
    </row>
    <row r="706">
      <c r="N706" s="47"/>
      <c r="O706" s="47"/>
    </row>
    <row r="707">
      <c r="N707" s="47"/>
      <c r="O707" s="47"/>
    </row>
    <row r="708">
      <c r="N708" s="47"/>
      <c r="O708" s="47"/>
    </row>
    <row r="709">
      <c r="N709" s="47"/>
      <c r="O709" s="47"/>
    </row>
    <row r="710">
      <c r="N710" s="47"/>
      <c r="O710" s="47"/>
    </row>
    <row r="711">
      <c r="N711" s="47"/>
      <c r="O711" s="47"/>
    </row>
    <row r="712">
      <c r="N712" s="47"/>
      <c r="O712" s="47"/>
    </row>
    <row r="713">
      <c r="N713" s="47"/>
      <c r="O713" s="47"/>
    </row>
    <row r="714">
      <c r="N714" s="47"/>
      <c r="O714" s="47"/>
    </row>
    <row r="715">
      <c r="N715" s="47"/>
      <c r="O715" s="47"/>
    </row>
    <row r="716">
      <c r="N716" s="47"/>
      <c r="O716" s="47"/>
    </row>
    <row r="717">
      <c r="N717" s="47"/>
      <c r="O717" s="47"/>
    </row>
    <row r="718">
      <c r="N718" s="47"/>
      <c r="O718" s="47"/>
    </row>
    <row r="719">
      <c r="N719" s="47"/>
      <c r="O719" s="47"/>
    </row>
    <row r="720">
      <c r="N720" s="47"/>
      <c r="O720" s="47"/>
    </row>
    <row r="721">
      <c r="N721" s="47"/>
      <c r="O721" s="47"/>
    </row>
    <row r="722">
      <c r="N722" s="47"/>
      <c r="O722" s="47"/>
    </row>
    <row r="723">
      <c r="N723" s="47"/>
      <c r="O723" s="47"/>
    </row>
    <row r="724">
      <c r="N724" s="47"/>
      <c r="O724" s="47"/>
    </row>
    <row r="725">
      <c r="N725" s="47"/>
      <c r="O725" s="47"/>
    </row>
    <row r="726">
      <c r="N726" s="47"/>
      <c r="O726" s="47"/>
    </row>
    <row r="727">
      <c r="N727" s="47"/>
      <c r="O727" s="47"/>
    </row>
    <row r="728">
      <c r="N728" s="47"/>
      <c r="O728" s="47"/>
    </row>
    <row r="729">
      <c r="N729" s="47"/>
      <c r="O729" s="47"/>
    </row>
    <row r="730">
      <c r="N730" s="47"/>
      <c r="O730" s="47"/>
    </row>
    <row r="731">
      <c r="N731" s="47"/>
      <c r="O731" s="47"/>
    </row>
    <row r="732">
      <c r="N732" s="47"/>
      <c r="O732" s="47"/>
    </row>
    <row r="733">
      <c r="N733" s="47"/>
      <c r="O733" s="47"/>
    </row>
    <row r="734">
      <c r="N734" s="47"/>
      <c r="O734" s="47"/>
    </row>
    <row r="735">
      <c r="N735" s="47"/>
      <c r="O735" s="47"/>
    </row>
    <row r="736">
      <c r="N736" s="47"/>
      <c r="O736" s="47"/>
    </row>
    <row r="737">
      <c r="N737" s="47"/>
      <c r="O737" s="47"/>
    </row>
    <row r="738">
      <c r="N738" s="47"/>
      <c r="O738" s="47"/>
    </row>
    <row r="739">
      <c r="N739" s="47"/>
      <c r="O739" s="47"/>
    </row>
    <row r="740">
      <c r="N740" s="47"/>
      <c r="O740" s="47"/>
    </row>
    <row r="741">
      <c r="N741" s="47"/>
      <c r="O741" s="47"/>
    </row>
    <row r="742">
      <c r="N742" s="47"/>
      <c r="O742" s="47"/>
    </row>
    <row r="743">
      <c r="N743" s="47"/>
      <c r="O743" s="47"/>
    </row>
    <row r="744">
      <c r="N744" s="47"/>
      <c r="O744" s="47"/>
    </row>
    <row r="745">
      <c r="N745" s="47"/>
      <c r="O745" s="47"/>
    </row>
    <row r="746">
      <c r="N746" s="47"/>
      <c r="O746" s="47"/>
    </row>
    <row r="747">
      <c r="N747" s="47"/>
      <c r="O747" s="47"/>
    </row>
    <row r="748">
      <c r="N748" s="47"/>
      <c r="O748" s="47"/>
    </row>
    <row r="749">
      <c r="N749" s="47"/>
      <c r="O749" s="47"/>
    </row>
    <row r="750">
      <c r="N750" s="47"/>
      <c r="O750" s="47"/>
    </row>
    <row r="751">
      <c r="N751" s="47"/>
      <c r="O751" s="47"/>
    </row>
    <row r="752">
      <c r="N752" s="47"/>
      <c r="O752" s="47"/>
    </row>
    <row r="753">
      <c r="N753" s="47"/>
      <c r="O753" s="47"/>
    </row>
    <row r="754">
      <c r="N754" s="47"/>
      <c r="O754" s="47"/>
    </row>
    <row r="755">
      <c r="N755" s="47"/>
      <c r="O755" s="47"/>
    </row>
    <row r="756">
      <c r="N756" s="47"/>
      <c r="O756" s="47"/>
    </row>
    <row r="757">
      <c r="N757" s="47"/>
      <c r="O757" s="47"/>
    </row>
    <row r="758">
      <c r="N758" s="47"/>
      <c r="O758" s="47"/>
    </row>
    <row r="759">
      <c r="N759" s="47"/>
      <c r="O759" s="47"/>
    </row>
    <row r="760">
      <c r="N760" s="47"/>
      <c r="O760" s="47"/>
    </row>
    <row r="761">
      <c r="N761" s="47"/>
      <c r="O761" s="47"/>
    </row>
    <row r="762">
      <c r="N762" s="47"/>
      <c r="O762" s="47"/>
    </row>
    <row r="763">
      <c r="N763" s="47"/>
      <c r="O763" s="47"/>
    </row>
    <row r="764">
      <c r="N764" s="47"/>
      <c r="O764" s="47"/>
    </row>
    <row r="765">
      <c r="N765" s="47"/>
      <c r="O765" s="47"/>
    </row>
    <row r="766">
      <c r="N766" s="47"/>
      <c r="O766" s="47"/>
    </row>
    <row r="767">
      <c r="N767" s="47"/>
      <c r="O767" s="47"/>
    </row>
    <row r="768">
      <c r="N768" s="47"/>
      <c r="O768" s="47"/>
    </row>
    <row r="769">
      <c r="N769" s="47"/>
      <c r="O769" s="47"/>
    </row>
    <row r="770">
      <c r="N770" s="47"/>
      <c r="O770" s="47"/>
    </row>
    <row r="771">
      <c r="N771" s="47"/>
      <c r="O771" s="47"/>
    </row>
    <row r="772">
      <c r="N772" s="47"/>
      <c r="O772" s="47"/>
    </row>
    <row r="773">
      <c r="N773" s="47"/>
      <c r="O773" s="47"/>
    </row>
    <row r="774">
      <c r="N774" s="47"/>
      <c r="O774" s="47"/>
    </row>
    <row r="775">
      <c r="N775" s="47"/>
      <c r="O775" s="47"/>
    </row>
    <row r="776">
      <c r="N776" s="47"/>
      <c r="O776" s="47"/>
    </row>
    <row r="777">
      <c r="N777" s="47"/>
      <c r="O777" s="47"/>
    </row>
    <row r="778">
      <c r="N778" s="47"/>
      <c r="O778" s="47"/>
    </row>
    <row r="779">
      <c r="N779" s="47"/>
      <c r="O779" s="47"/>
    </row>
    <row r="780">
      <c r="N780" s="47"/>
      <c r="O780" s="47"/>
    </row>
    <row r="781">
      <c r="N781" s="47"/>
      <c r="O781" s="47"/>
    </row>
    <row r="782">
      <c r="N782" s="47"/>
      <c r="O782" s="47"/>
    </row>
    <row r="783">
      <c r="N783" s="47"/>
      <c r="O783" s="47"/>
    </row>
    <row r="784">
      <c r="N784" s="47"/>
      <c r="O784" s="47"/>
    </row>
    <row r="785">
      <c r="N785" s="47"/>
      <c r="O785" s="47"/>
    </row>
    <row r="786">
      <c r="N786" s="47"/>
      <c r="O786" s="47"/>
    </row>
    <row r="787">
      <c r="N787" s="47"/>
      <c r="O787" s="47"/>
    </row>
    <row r="788">
      <c r="N788" s="47"/>
      <c r="O788" s="47"/>
    </row>
    <row r="789">
      <c r="N789" s="47"/>
      <c r="O789" s="47"/>
    </row>
    <row r="790">
      <c r="N790" s="47"/>
      <c r="O790" s="47"/>
    </row>
    <row r="791">
      <c r="N791" s="47"/>
      <c r="O791" s="47"/>
    </row>
    <row r="792">
      <c r="N792" s="47"/>
      <c r="O792" s="47"/>
    </row>
    <row r="793">
      <c r="N793" s="47"/>
      <c r="O793" s="47"/>
    </row>
    <row r="794">
      <c r="N794" s="47"/>
      <c r="O794" s="47"/>
    </row>
    <row r="795">
      <c r="N795" s="47"/>
      <c r="O795" s="47"/>
    </row>
    <row r="796">
      <c r="N796" s="47"/>
      <c r="O796" s="47"/>
    </row>
    <row r="797">
      <c r="N797" s="47"/>
      <c r="O797" s="47"/>
    </row>
    <row r="798">
      <c r="N798" s="47"/>
      <c r="O798" s="47"/>
    </row>
    <row r="799">
      <c r="N799" s="47"/>
      <c r="O799" s="47"/>
    </row>
    <row r="800">
      <c r="N800" s="47"/>
      <c r="O800" s="47"/>
    </row>
    <row r="801">
      <c r="N801" s="47"/>
      <c r="O801" s="47"/>
    </row>
    <row r="802">
      <c r="N802" s="47"/>
      <c r="O802" s="47"/>
    </row>
    <row r="803">
      <c r="N803" s="47"/>
      <c r="O803" s="47"/>
    </row>
    <row r="804">
      <c r="N804" s="47"/>
      <c r="O804" s="47"/>
    </row>
    <row r="805">
      <c r="N805" s="47"/>
      <c r="O805" s="47"/>
    </row>
    <row r="806">
      <c r="N806" s="47"/>
      <c r="O806" s="47"/>
    </row>
    <row r="807">
      <c r="N807" s="47"/>
      <c r="O807" s="47"/>
    </row>
    <row r="808">
      <c r="N808" s="47"/>
      <c r="O808" s="47"/>
    </row>
    <row r="809">
      <c r="N809" s="47"/>
      <c r="O809" s="47"/>
    </row>
    <row r="810">
      <c r="N810" s="47"/>
      <c r="O810" s="47"/>
    </row>
    <row r="811">
      <c r="N811" s="47"/>
      <c r="O811" s="47"/>
    </row>
    <row r="812">
      <c r="N812" s="47"/>
      <c r="O812" s="47"/>
    </row>
    <row r="813">
      <c r="N813" s="47"/>
      <c r="O813" s="47"/>
    </row>
    <row r="814">
      <c r="N814" s="47"/>
      <c r="O814" s="47"/>
    </row>
    <row r="815">
      <c r="N815" s="47"/>
      <c r="O815" s="47"/>
    </row>
    <row r="816">
      <c r="N816" s="47"/>
      <c r="O816" s="47"/>
    </row>
    <row r="817">
      <c r="N817" s="47"/>
      <c r="O817" s="47"/>
    </row>
    <row r="818">
      <c r="N818" s="47"/>
      <c r="O818" s="47"/>
    </row>
    <row r="819">
      <c r="N819" s="47"/>
      <c r="O819" s="47"/>
    </row>
    <row r="820">
      <c r="N820" s="47"/>
      <c r="O820" s="47"/>
    </row>
    <row r="821">
      <c r="N821" s="47"/>
      <c r="O821" s="47"/>
    </row>
    <row r="822">
      <c r="N822" s="47"/>
      <c r="O822" s="47"/>
    </row>
    <row r="823">
      <c r="N823" s="47"/>
      <c r="O823" s="47"/>
    </row>
    <row r="824">
      <c r="N824" s="47"/>
      <c r="O824" s="47"/>
    </row>
    <row r="825">
      <c r="N825" s="47"/>
      <c r="O825" s="47"/>
    </row>
    <row r="826">
      <c r="N826" s="47"/>
      <c r="O826" s="47"/>
    </row>
    <row r="827">
      <c r="N827" s="47"/>
      <c r="O827" s="47"/>
    </row>
    <row r="828">
      <c r="N828" s="47"/>
      <c r="O828" s="47"/>
    </row>
    <row r="829">
      <c r="N829" s="47"/>
      <c r="O829" s="47"/>
    </row>
    <row r="830">
      <c r="N830" s="47"/>
      <c r="O830" s="47"/>
    </row>
    <row r="831">
      <c r="N831" s="47"/>
      <c r="O831" s="47"/>
    </row>
    <row r="832">
      <c r="N832" s="47"/>
      <c r="O832" s="47"/>
    </row>
    <row r="833">
      <c r="N833" s="47"/>
      <c r="O833" s="47"/>
    </row>
    <row r="834">
      <c r="N834" s="47"/>
      <c r="O834" s="47"/>
    </row>
    <row r="835">
      <c r="N835" s="47"/>
      <c r="O835" s="47"/>
    </row>
    <row r="836">
      <c r="N836" s="47"/>
      <c r="O836" s="47"/>
    </row>
    <row r="837">
      <c r="N837" s="47"/>
      <c r="O837" s="47"/>
    </row>
    <row r="838">
      <c r="N838" s="47"/>
      <c r="O838" s="47"/>
    </row>
    <row r="839">
      <c r="N839" s="47"/>
      <c r="O839" s="47"/>
    </row>
    <row r="840">
      <c r="N840" s="47"/>
      <c r="O840" s="47"/>
    </row>
    <row r="841">
      <c r="N841" s="47"/>
      <c r="O841" s="47"/>
    </row>
    <row r="842">
      <c r="N842" s="47"/>
      <c r="O842" s="47"/>
    </row>
    <row r="843">
      <c r="N843" s="47"/>
      <c r="O843" s="47"/>
    </row>
    <row r="844">
      <c r="N844" s="47"/>
      <c r="O844" s="47"/>
    </row>
    <row r="845">
      <c r="N845" s="47"/>
      <c r="O845" s="47"/>
    </row>
    <row r="846">
      <c r="N846" s="47"/>
      <c r="O846" s="47"/>
    </row>
    <row r="847">
      <c r="N847" s="47"/>
      <c r="O847" s="47"/>
    </row>
    <row r="848">
      <c r="N848" s="47"/>
      <c r="O848" s="47"/>
    </row>
    <row r="849">
      <c r="N849" s="47"/>
      <c r="O849" s="47"/>
    </row>
    <row r="850">
      <c r="N850" s="47"/>
      <c r="O850" s="47"/>
    </row>
    <row r="851">
      <c r="N851" s="47"/>
      <c r="O851" s="47"/>
    </row>
    <row r="852">
      <c r="N852" s="47"/>
      <c r="O852" s="47"/>
    </row>
    <row r="853">
      <c r="N853" s="47"/>
      <c r="O853" s="47"/>
    </row>
    <row r="854">
      <c r="N854" s="47"/>
      <c r="O854" s="47"/>
    </row>
    <row r="855">
      <c r="N855" s="47"/>
      <c r="O855" s="47"/>
    </row>
    <row r="856">
      <c r="N856" s="47"/>
      <c r="O856" s="47"/>
    </row>
    <row r="857">
      <c r="N857" s="47"/>
      <c r="O857" s="47"/>
    </row>
    <row r="858">
      <c r="N858" s="47"/>
      <c r="O858" s="47"/>
    </row>
    <row r="859">
      <c r="N859" s="47"/>
      <c r="O859" s="47"/>
    </row>
    <row r="860">
      <c r="N860" s="47"/>
      <c r="O860" s="47"/>
    </row>
    <row r="861">
      <c r="N861" s="47"/>
      <c r="O861" s="47"/>
    </row>
    <row r="862">
      <c r="N862" s="47"/>
      <c r="O862" s="47"/>
    </row>
    <row r="863">
      <c r="N863" s="47"/>
      <c r="O863" s="47"/>
    </row>
    <row r="864">
      <c r="N864" s="47"/>
      <c r="O864" s="47"/>
    </row>
    <row r="865">
      <c r="N865" s="47"/>
      <c r="O865" s="47"/>
    </row>
    <row r="866">
      <c r="N866" s="47"/>
      <c r="O866" s="47"/>
    </row>
    <row r="867">
      <c r="N867" s="47"/>
      <c r="O867" s="47"/>
    </row>
    <row r="868">
      <c r="N868" s="47"/>
      <c r="O868" s="47"/>
    </row>
    <row r="869">
      <c r="N869" s="47"/>
      <c r="O869" s="47"/>
    </row>
    <row r="870">
      <c r="N870" s="47"/>
      <c r="O870" s="47"/>
    </row>
    <row r="871">
      <c r="N871" s="47"/>
      <c r="O871" s="47"/>
    </row>
    <row r="872">
      <c r="N872" s="47"/>
      <c r="O872" s="47"/>
    </row>
    <row r="873">
      <c r="N873" s="47"/>
      <c r="O873" s="47"/>
    </row>
    <row r="874">
      <c r="N874" s="47"/>
      <c r="O874" s="47"/>
    </row>
    <row r="875">
      <c r="N875" s="47"/>
      <c r="O875" s="47"/>
    </row>
    <row r="876">
      <c r="N876" s="47"/>
      <c r="O876" s="47"/>
    </row>
    <row r="877">
      <c r="N877" s="47"/>
      <c r="O877" s="47"/>
    </row>
    <row r="878">
      <c r="N878" s="47"/>
      <c r="O878" s="47"/>
    </row>
    <row r="879">
      <c r="N879" s="47"/>
      <c r="O879" s="47"/>
    </row>
    <row r="880">
      <c r="N880" s="47"/>
      <c r="O880" s="47"/>
    </row>
    <row r="881">
      <c r="N881" s="47"/>
      <c r="O881" s="47"/>
    </row>
    <row r="882">
      <c r="N882" s="47"/>
      <c r="O882" s="47"/>
    </row>
    <row r="883">
      <c r="N883" s="47"/>
      <c r="O883" s="47"/>
    </row>
    <row r="884">
      <c r="N884" s="47"/>
      <c r="O884" s="47"/>
    </row>
    <row r="885">
      <c r="N885" s="47"/>
      <c r="O885" s="47"/>
    </row>
    <row r="886">
      <c r="N886" s="47"/>
      <c r="O886" s="47"/>
    </row>
    <row r="887">
      <c r="N887" s="47"/>
      <c r="O887" s="47"/>
    </row>
    <row r="888">
      <c r="N888" s="47"/>
      <c r="O888" s="47"/>
    </row>
    <row r="889">
      <c r="N889" s="47"/>
      <c r="O889" s="47"/>
    </row>
    <row r="890">
      <c r="N890" s="47"/>
      <c r="O890" s="47"/>
    </row>
    <row r="891">
      <c r="N891" s="47"/>
      <c r="O891" s="47"/>
    </row>
    <row r="892">
      <c r="N892" s="47"/>
      <c r="O892" s="47"/>
    </row>
    <row r="893">
      <c r="N893" s="47"/>
      <c r="O893" s="47"/>
    </row>
    <row r="894">
      <c r="N894" s="47"/>
      <c r="O894" s="47"/>
    </row>
    <row r="895">
      <c r="N895" s="47"/>
      <c r="O895" s="47"/>
    </row>
    <row r="896">
      <c r="N896" s="47"/>
      <c r="O896" s="47"/>
    </row>
    <row r="897">
      <c r="N897" s="47"/>
      <c r="O897" s="47"/>
    </row>
    <row r="898">
      <c r="N898" s="47"/>
      <c r="O898" s="47"/>
    </row>
    <row r="899">
      <c r="N899" s="47"/>
      <c r="O899" s="47"/>
    </row>
    <row r="900">
      <c r="N900" s="47"/>
      <c r="O900" s="47"/>
    </row>
    <row r="901">
      <c r="N901" s="47"/>
      <c r="O901" s="47"/>
    </row>
    <row r="902">
      <c r="N902" s="47"/>
      <c r="O902" s="47"/>
    </row>
    <row r="903">
      <c r="N903" s="47"/>
      <c r="O903" s="47"/>
    </row>
    <row r="904">
      <c r="N904" s="47"/>
      <c r="O904" s="47"/>
    </row>
    <row r="905">
      <c r="N905" s="47"/>
      <c r="O905" s="47"/>
    </row>
    <row r="906">
      <c r="N906" s="47"/>
      <c r="O906" s="47"/>
    </row>
    <row r="907">
      <c r="N907" s="47"/>
      <c r="O907" s="47"/>
    </row>
    <row r="908">
      <c r="N908" s="47"/>
      <c r="O908" s="47"/>
    </row>
    <row r="909">
      <c r="N909" s="47"/>
      <c r="O909" s="47"/>
    </row>
    <row r="910">
      <c r="N910" s="47"/>
      <c r="O910" s="47"/>
    </row>
    <row r="911">
      <c r="N911" s="47"/>
      <c r="O911" s="47"/>
    </row>
    <row r="912">
      <c r="N912" s="47"/>
      <c r="O912" s="47"/>
    </row>
    <row r="913">
      <c r="N913" s="47"/>
      <c r="O913" s="47"/>
    </row>
    <row r="914">
      <c r="N914" s="47"/>
      <c r="O914" s="47"/>
    </row>
    <row r="915">
      <c r="N915" s="47"/>
      <c r="O915" s="47"/>
    </row>
    <row r="916">
      <c r="N916" s="47"/>
      <c r="O916" s="47"/>
    </row>
    <row r="917">
      <c r="N917" s="47"/>
      <c r="O917" s="47"/>
    </row>
    <row r="918">
      <c r="N918" s="47"/>
      <c r="O918" s="47"/>
    </row>
    <row r="919">
      <c r="N919" s="47"/>
      <c r="O919" s="47"/>
    </row>
    <row r="920">
      <c r="N920" s="47"/>
      <c r="O920" s="47"/>
    </row>
    <row r="921">
      <c r="N921" s="47"/>
      <c r="O921" s="47"/>
    </row>
    <row r="922">
      <c r="N922" s="47"/>
      <c r="O922" s="47"/>
    </row>
    <row r="923">
      <c r="N923" s="47"/>
      <c r="O923" s="47"/>
    </row>
    <row r="924">
      <c r="N924" s="47"/>
      <c r="O924" s="47"/>
    </row>
    <row r="925">
      <c r="N925" s="47"/>
      <c r="O925" s="47"/>
    </row>
    <row r="926">
      <c r="N926" s="47"/>
      <c r="O926" s="47"/>
    </row>
    <row r="927">
      <c r="N927" s="47"/>
      <c r="O927" s="47"/>
    </row>
    <row r="928">
      <c r="N928" s="47"/>
      <c r="O928" s="47"/>
    </row>
    <row r="929">
      <c r="N929" s="47"/>
      <c r="O929" s="47"/>
    </row>
    <row r="930">
      <c r="N930" s="47"/>
      <c r="O930" s="47"/>
    </row>
    <row r="931">
      <c r="N931" s="47"/>
      <c r="O931" s="47"/>
    </row>
    <row r="932">
      <c r="N932" s="47"/>
      <c r="O932" s="47"/>
    </row>
    <row r="933">
      <c r="N933" s="47"/>
      <c r="O933" s="47"/>
    </row>
    <row r="934">
      <c r="N934" s="47"/>
      <c r="O934" s="47"/>
    </row>
    <row r="935">
      <c r="N935" s="47"/>
      <c r="O935" s="47"/>
    </row>
    <row r="936">
      <c r="N936" s="47"/>
      <c r="O936" s="47"/>
    </row>
    <row r="937">
      <c r="N937" s="47"/>
      <c r="O937" s="47"/>
    </row>
    <row r="938">
      <c r="N938" s="47"/>
      <c r="O938" s="47"/>
    </row>
    <row r="939">
      <c r="N939" s="47"/>
      <c r="O939" s="47"/>
    </row>
    <row r="940">
      <c r="N940" s="47"/>
      <c r="O940" s="47"/>
    </row>
    <row r="941">
      <c r="N941" s="47"/>
      <c r="O941" s="47"/>
    </row>
    <row r="942">
      <c r="N942" s="47"/>
      <c r="O942" s="47"/>
    </row>
    <row r="943">
      <c r="N943" s="47"/>
      <c r="O943" s="47"/>
    </row>
    <row r="944">
      <c r="N944" s="47"/>
      <c r="O944" s="47"/>
    </row>
    <row r="945">
      <c r="N945" s="47"/>
      <c r="O945" s="47"/>
    </row>
    <row r="946">
      <c r="N946" s="47"/>
      <c r="O946" s="47"/>
    </row>
    <row r="947">
      <c r="N947" s="47"/>
      <c r="O947" s="47"/>
    </row>
    <row r="948">
      <c r="N948" s="47"/>
      <c r="O948" s="47"/>
    </row>
    <row r="949">
      <c r="N949" s="47"/>
      <c r="O949" s="47"/>
    </row>
    <row r="950">
      <c r="N950" s="47"/>
      <c r="O950" s="47"/>
    </row>
    <row r="951">
      <c r="N951" s="47"/>
      <c r="O951" s="47"/>
    </row>
    <row r="952">
      <c r="N952" s="47"/>
      <c r="O952" s="47"/>
    </row>
    <row r="953">
      <c r="N953" s="47"/>
      <c r="O953" s="47"/>
    </row>
    <row r="954">
      <c r="N954" s="47"/>
      <c r="O954" s="47"/>
    </row>
    <row r="955">
      <c r="N955" s="47"/>
      <c r="O955" s="47"/>
    </row>
    <row r="956">
      <c r="N956" s="47"/>
      <c r="O956" s="47"/>
    </row>
    <row r="957">
      <c r="N957" s="47"/>
      <c r="O957" s="47"/>
    </row>
    <row r="958">
      <c r="N958" s="47"/>
      <c r="O958" s="47"/>
    </row>
    <row r="959">
      <c r="N959" s="47"/>
      <c r="O959" s="47"/>
    </row>
    <row r="960">
      <c r="N960" s="47"/>
      <c r="O960" s="47"/>
    </row>
    <row r="961">
      <c r="N961" s="47"/>
      <c r="O961" s="47"/>
    </row>
    <row r="962">
      <c r="N962" s="47"/>
      <c r="O962" s="47"/>
    </row>
    <row r="963">
      <c r="N963" s="47"/>
      <c r="O963" s="47"/>
    </row>
    <row r="964">
      <c r="N964" s="47"/>
      <c r="O964" s="47"/>
    </row>
    <row r="965">
      <c r="N965" s="47"/>
      <c r="O965" s="47"/>
    </row>
    <row r="966">
      <c r="N966" s="47"/>
      <c r="O966" s="47"/>
    </row>
    <row r="967">
      <c r="N967" s="47"/>
      <c r="O967" s="47"/>
    </row>
    <row r="968">
      <c r="N968" s="47"/>
      <c r="O968" s="47"/>
    </row>
    <row r="969">
      <c r="N969" s="47"/>
      <c r="O969" s="47"/>
    </row>
    <row r="970">
      <c r="N970" s="47"/>
      <c r="O970" s="47"/>
    </row>
    <row r="971">
      <c r="N971" s="47"/>
      <c r="O971" s="47"/>
    </row>
    <row r="972">
      <c r="N972" s="47"/>
      <c r="O972" s="47"/>
    </row>
    <row r="973">
      <c r="N973" s="47"/>
      <c r="O973" s="47"/>
    </row>
    <row r="974">
      <c r="N974" s="47"/>
      <c r="O974" s="47"/>
    </row>
    <row r="975">
      <c r="N975" s="47"/>
      <c r="O975" s="47"/>
    </row>
    <row r="976">
      <c r="N976" s="47"/>
      <c r="O976" s="47"/>
    </row>
    <row r="977">
      <c r="N977" s="47"/>
      <c r="O977" s="47"/>
    </row>
    <row r="978">
      <c r="N978" s="47"/>
      <c r="O978" s="47"/>
    </row>
    <row r="979">
      <c r="N979" s="47"/>
      <c r="O979" s="47"/>
    </row>
    <row r="980">
      <c r="N980" s="47"/>
      <c r="O980" s="47"/>
    </row>
    <row r="981">
      <c r="N981" s="47"/>
      <c r="O981" s="47"/>
    </row>
    <row r="982">
      <c r="N982" s="47"/>
      <c r="O982" s="47"/>
    </row>
    <row r="983">
      <c r="N983" s="47"/>
      <c r="O983" s="47"/>
    </row>
    <row r="984">
      <c r="N984" s="47"/>
      <c r="O984" s="47"/>
    </row>
    <row r="985">
      <c r="N985" s="47"/>
      <c r="O985" s="47"/>
    </row>
    <row r="986">
      <c r="N986" s="47"/>
      <c r="O986" s="47"/>
    </row>
    <row r="987">
      <c r="N987" s="47"/>
      <c r="O987" s="47"/>
    </row>
    <row r="988">
      <c r="N988" s="47"/>
      <c r="O988" s="47"/>
    </row>
    <row r="989">
      <c r="N989" s="47"/>
      <c r="O989" s="47"/>
    </row>
    <row r="990">
      <c r="N990" s="47"/>
      <c r="O990" s="47"/>
    </row>
    <row r="991">
      <c r="N991" s="47"/>
      <c r="O991" s="47"/>
    </row>
    <row r="992">
      <c r="N992" s="47"/>
      <c r="O992" s="47"/>
    </row>
    <row r="993">
      <c r="N993" s="47"/>
      <c r="O993" s="47"/>
    </row>
    <row r="994">
      <c r="N994" s="47"/>
      <c r="O994" s="47"/>
    </row>
    <row r="995">
      <c r="N995" s="47"/>
      <c r="O995" s="47"/>
    </row>
    <row r="996">
      <c r="N996" s="47"/>
      <c r="O996" s="47"/>
    </row>
    <row r="997">
      <c r="N997" s="47"/>
      <c r="O997" s="47"/>
    </row>
    <row r="998">
      <c r="N998" s="47"/>
      <c r="O998" s="47"/>
    </row>
    <row r="999">
      <c r="N999" s="47"/>
      <c r="O999" s="47"/>
    </row>
    <row r="1000">
      <c r="N1000" s="47"/>
      <c r="O1000" s="47"/>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3466.7999999999997</v>
      </c>
      <c r="P2" s="1" t="s">
        <v>525</v>
      </c>
    </row>
    <row r="3">
      <c r="A3" s="1" t="s">
        <v>526</v>
      </c>
    </row>
    <row r="4">
      <c r="A4" s="44" t="s">
        <v>332</v>
      </c>
      <c r="B4" s="44" t="s">
        <v>333</v>
      </c>
      <c r="P4" s="13" t="s">
        <v>460</v>
      </c>
      <c r="Q4" s="41">
        <v>10.799999999999727</v>
      </c>
    </row>
    <row r="5">
      <c r="A5" s="11" t="s">
        <v>527</v>
      </c>
      <c r="B5" s="31">
        <v>28.0</v>
      </c>
      <c r="P5" s="13" t="s">
        <v>462</v>
      </c>
      <c r="Q5" s="41">
        <v>1002.7999999999997</v>
      </c>
    </row>
    <row r="6">
      <c r="A6" s="11" t="s">
        <v>339</v>
      </c>
      <c r="B6" s="31">
        <v>7.0</v>
      </c>
      <c r="P6" s="13" t="s">
        <v>463</v>
      </c>
      <c r="Q6" s="41">
        <v>-10169.252</v>
      </c>
    </row>
    <row r="7">
      <c r="A7" s="11" t="s">
        <v>341</v>
      </c>
      <c r="B7" s="31">
        <v>65.0</v>
      </c>
    </row>
    <row r="10">
      <c r="P10" s="43" t="s">
        <v>328</v>
      </c>
    </row>
    <row r="11">
      <c r="A11" s="1" t="s">
        <v>380</v>
      </c>
      <c r="P11" s="13" t="s">
        <v>329</v>
      </c>
      <c r="Q11" s="41">
        <v>3267.0</v>
      </c>
    </row>
    <row r="12">
      <c r="A12" s="44" t="s">
        <v>332</v>
      </c>
      <c r="B12" s="44" t="s">
        <v>333</v>
      </c>
      <c r="P12" s="13" t="s">
        <v>331</v>
      </c>
      <c r="Q12" s="41">
        <v>2594.0</v>
      </c>
    </row>
    <row r="13">
      <c r="A13" s="11" t="s">
        <v>528</v>
      </c>
      <c r="B13" s="31">
        <v>847.0</v>
      </c>
      <c r="P13" s="13" t="s">
        <v>334</v>
      </c>
      <c r="Q13" s="41">
        <v>2974.0</v>
      </c>
    </row>
    <row r="14">
      <c r="A14" s="11" t="s">
        <v>339</v>
      </c>
      <c r="B14" s="31">
        <v>280.0</v>
      </c>
      <c r="P14" s="13" t="s">
        <v>336</v>
      </c>
      <c r="Q14" s="41">
        <v>3558.0</v>
      </c>
    </row>
    <row r="15">
      <c r="A15" s="11" t="s">
        <v>341</v>
      </c>
      <c r="B15" s="31">
        <v>49.0</v>
      </c>
      <c r="P15" s="13" t="s">
        <v>338</v>
      </c>
      <c r="Q15" s="41">
        <v>3593.0</v>
      </c>
    </row>
    <row r="16">
      <c r="P16" s="13" t="s">
        <v>340</v>
      </c>
      <c r="Q16" s="41">
        <v>4220.0</v>
      </c>
    </row>
    <row r="17">
      <c r="P17" s="13" t="s">
        <v>342</v>
      </c>
      <c r="Q17" s="41">
        <v>3842.0</v>
      </c>
    </row>
    <row r="18">
      <c r="P18" s="13" t="s">
        <v>343</v>
      </c>
      <c r="Q18" s="41">
        <v>1779.0</v>
      </c>
    </row>
    <row r="19">
      <c r="A19" s="1" t="s">
        <v>330</v>
      </c>
      <c r="P19" s="13" t="s">
        <v>464</v>
      </c>
      <c r="Q19" s="41">
        <v>338.0</v>
      </c>
    </row>
    <row r="20">
      <c r="A20" s="44" t="s">
        <v>332</v>
      </c>
      <c r="B20" s="44" t="s">
        <v>333</v>
      </c>
    </row>
    <row r="21">
      <c r="A21" s="11" t="s">
        <v>529</v>
      </c>
      <c r="B21" s="31">
        <v>3679.0</v>
      </c>
    </row>
    <row r="22">
      <c r="A22" s="11" t="s">
        <v>339</v>
      </c>
      <c r="B22" s="31">
        <v>1190.0</v>
      </c>
      <c r="P22" s="43" t="s">
        <v>346</v>
      </c>
    </row>
    <row r="23">
      <c r="A23" s="11" t="s">
        <v>341</v>
      </c>
      <c r="B23" s="31">
        <v>62.0</v>
      </c>
      <c r="P23" s="13" t="s">
        <v>348</v>
      </c>
      <c r="Q23" s="41">
        <v>9973.0</v>
      </c>
    </row>
    <row r="24">
      <c r="P24" s="13" t="s">
        <v>349</v>
      </c>
      <c r="Q24" s="41">
        <v>142.0</v>
      </c>
    </row>
    <row r="25">
      <c r="P25" s="13" t="s">
        <v>351</v>
      </c>
      <c r="Q25" s="41">
        <v>183.0</v>
      </c>
    </row>
    <row r="26">
      <c r="P26" s="13" t="s">
        <v>352</v>
      </c>
      <c r="Q26" s="41">
        <v>7.0</v>
      </c>
    </row>
    <row r="27">
      <c r="A27" s="28" t="s">
        <v>345</v>
      </c>
      <c r="P27" s="13" t="s">
        <v>353</v>
      </c>
      <c r="Q27" s="41">
        <v>495.0</v>
      </c>
    </row>
    <row r="28">
      <c r="P28" s="13" t="s">
        <v>354</v>
      </c>
      <c r="Q28" s="41">
        <v>1796.0</v>
      </c>
    </row>
    <row r="29">
      <c r="A29" s="1" t="s">
        <v>388</v>
      </c>
      <c r="P29" s="13" t="s">
        <v>355</v>
      </c>
      <c r="Q29" s="41">
        <v>1654.0</v>
      </c>
    </row>
    <row r="30">
      <c r="A30" s="44" t="s">
        <v>332</v>
      </c>
      <c r="B30" s="44" t="s">
        <v>333</v>
      </c>
      <c r="P30" s="13" t="s">
        <v>356</v>
      </c>
      <c r="Q30" s="41">
        <v>178.0</v>
      </c>
    </row>
    <row r="31">
      <c r="A31" s="11" t="s">
        <v>530</v>
      </c>
      <c r="B31" s="31">
        <v>25.0</v>
      </c>
      <c r="P31" s="13" t="s">
        <v>358</v>
      </c>
      <c r="Q31" s="41">
        <v>5.0</v>
      </c>
    </row>
    <row r="32">
      <c r="A32" s="11" t="s">
        <v>339</v>
      </c>
      <c r="B32" s="31">
        <v>10.0</v>
      </c>
      <c r="P32" s="13" t="s">
        <v>359</v>
      </c>
      <c r="Q32" s="41">
        <v>612.0</v>
      </c>
    </row>
    <row r="33">
      <c r="A33" s="11" t="s">
        <v>341</v>
      </c>
      <c r="B33" s="31">
        <v>89.0</v>
      </c>
      <c r="P33" s="13" t="s">
        <v>360</v>
      </c>
      <c r="Q33" s="41">
        <v>0.0</v>
      </c>
    </row>
    <row r="34">
      <c r="P34" s="13" t="s">
        <v>361</v>
      </c>
      <c r="Q34" s="41">
        <v>2464.0</v>
      </c>
    </row>
    <row r="35">
      <c r="P35" s="13" t="s">
        <v>363</v>
      </c>
      <c r="Q35" s="41">
        <v>38.0</v>
      </c>
    </row>
    <row r="36">
      <c r="P36" s="13" t="s">
        <v>364</v>
      </c>
      <c r="Q36" s="41">
        <v>608.0</v>
      </c>
    </row>
    <row r="37">
      <c r="A37" s="1" t="s">
        <v>347</v>
      </c>
      <c r="P37" s="13" t="s">
        <v>365</v>
      </c>
      <c r="Q37" s="41">
        <v>1089.0</v>
      </c>
    </row>
    <row r="38">
      <c r="A38" s="44" t="s">
        <v>332</v>
      </c>
      <c r="B38" s="44" t="s">
        <v>333</v>
      </c>
      <c r="P38" s="13" t="s">
        <v>366</v>
      </c>
      <c r="Q38" s="41">
        <v>247.0</v>
      </c>
    </row>
    <row r="39">
      <c r="A39" s="11" t="s">
        <v>528</v>
      </c>
      <c r="B39" s="31">
        <v>1154.0</v>
      </c>
      <c r="P39" s="13" t="s">
        <v>367</v>
      </c>
      <c r="Q39" s="41">
        <v>325.0</v>
      </c>
    </row>
    <row r="40">
      <c r="A40" s="11" t="s">
        <v>339</v>
      </c>
      <c r="B40" s="31">
        <v>574.0</v>
      </c>
      <c r="P40" s="13" t="s">
        <v>368</v>
      </c>
      <c r="Q40" s="41">
        <v>1576.0</v>
      </c>
    </row>
    <row r="41">
      <c r="A41" s="11" t="s">
        <v>341</v>
      </c>
      <c r="B41" s="31">
        <v>65.0</v>
      </c>
      <c r="P41" s="13" t="s">
        <v>369</v>
      </c>
      <c r="Q41" s="41">
        <v>604.0</v>
      </c>
    </row>
    <row r="42">
      <c r="P42" s="13" t="s">
        <v>370</v>
      </c>
      <c r="Q42" s="41">
        <v>13.0</v>
      </c>
    </row>
    <row r="45">
      <c r="A45" s="1" t="s">
        <v>357</v>
      </c>
      <c r="P45" s="43" t="s">
        <v>372</v>
      </c>
    </row>
    <row r="46">
      <c r="A46" s="44" t="s">
        <v>332</v>
      </c>
      <c r="B46" s="44" t="s">
        <v>333</v>
      </c>
      <c r="P46" s="13" t="s">
        <v>373</v>
      </c>
      <c r="Q46" s="41">
        <v>0.22</v>
      </c>
    </row>
    <row r="47">
      <c r="A47" s="11" t="s">
        <v>529</v>
      </c>
      <c r="B47" s="31">
        <v>4990.0</v>
      </c>
      <c r="P47" s="13" t="s">
        <v>465</v>
      </c>
      <c r="Q47" s="41">
        <v>0.271</v>
      </c>
    </row>
    <row r="48">
      <c r="A48" s="11" t="s">
        <v>339</v>
      </c>
      <c r="B48" s="31">
        <v>1526.0</v>
      </c>
      <c r="P48" s="13" t="s">
        <v>466</v>
      </c>
      <c r="Q48" s="41">
        <v>0.193</v>
      </c>
    </row>
    <row r="49">
      <c r="A49" s="11" t="s">
        <v>341</v>
      </c>
      <c r="B49" s="31">
        <v>109.0</v>
      </c>
      <c r="P49" s="13" t="s">
        <v>467</v>
      </c>
      <c r="Q49" s="41">
        <v>0.122</v>
      </c>
    </row>
    <row r="50">
      <c r="P50" s="13" t="s">
        <v>377</v>
      </c>
      <c r="Q50" s="41">
        <v>0.193</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5.13"/>
    <col customWidth="1" min="13" max="13" width="53.13"/>
    <col customWidth="1" min="14" max="14" width="7.25"/>
  </cols>
  <sheetData>
    <row r="1">
      <c r="A1" s="28" t="s">
        <v>327</v>
      </c>
      <c r="N1" s="1" t="s">
        <v>457</v>
      </c>
      <c r="P1" s="28" t="s">
        <v>458</v>
      </c>
    </row>
    <row r="2">
      <c r="N2" s="41">
        <v>2828.4</v>
      </c>
      <c r="P2" s="1" t="s">
        <v>531</v>
      </c>
    </row>
    <row r="3">
      <c r="A3" s="1" t="s">
        <v>380</v>
      </c>
    </row>
    <row r="4">
      <c r="A4" s="44" t="s">
        <v>332</v>
      </c>
      <c r="B4" s="44" t="s">
        <v>333</v>
      </c>
      <c r="P4" s="13" t="s">
        <v>460</v>
      </c>
      <c r="Q4" s="41">
        <v>-1013.5999999999999</v>
      </c>
    </row>
    <row r="5">
      <c r="A5" s="11" t="s">
        <v>532</v>
      </c>
      <c r="B5" s="31">
        <v>563.0</v>
      </c>
      <c r="P5" s="13" t="s">
        <v>462</v>
      </c>
      <c r="Q5" s="41">
        <v>-1486.6</v>
      </c>
    </row>
    <row r="6">
      <c r="A6" s="11" t="s">
        <v>339</v>
      </c>
      <c r="B6" s="31">
        <v>229.0</v>
      </c>
      <c r="P6" s="13" t="s">
        <v>463</v>
      </c>
      <c r="Q6" s="41">
        <v>-13043.300000000001</v>
      </c>
    </row>
    <row r="7">
      <c r="A7" s="11" t="s">
        <v>341</v>
      </c>
      <c r="B7" s="31">
        <v>98.0</v>
      </c>
    </row>
    <row r="10">
      <c r="P10" s="43" t="s">
        <v>328</v>
      </c>
    </row>
    <row r="11">
      <c r="A11" s="1" t="s">
        <v>330</v>
      </c>
      <c r="P11" s="13" t="s">
        <v>329</v>
      </c>
      <c r="Q11" s="41">
        <v>3630.0</v>
      </c>
    </row>
    <row r="12">
      <c r="A12" s="44" t="s">
        <v>332</v>
      </c>
      <c r="B12" s="44" t="s">
        <v>333</v>
      </c>
      <c r="P12" s="13" t="s">
        <v>331</v>
      </c>
      <c r="Q12" s="41">
        <v>2851.0</v>
      </c>
    </row>
    <row r="13">
      <c r="A13" s="11" t="s">
        <v>533</v>
      </c>
      <c r="B13" s="31">
        <v>2568.0</v>
      </c>
      <c r="P13" s="13" t="s">
        <v>334</v>
      </c>
      <c r="Q13" s="41">
        <v>3463.0</v>
      </c>
    </row>
    <row r="14">
      <c r="A14" s="11" t="s">
        <v>534</v>
      </c>
      <c r="B14" s="31">
        <v>763.0</v>
      </c>
      <c r="P14" s="13" t="s">
        <v>336</v>
      </c>
      <c r="Q14" s="41">
        <v>4117.0</v>
      </c>
    </row>
    <row r="15">
      <c r="A15" s="11" t="s">
        <v>339</v>
      </c>
      <c r="B15" s="31">
        <v>457.0</v>
      </c>
      <c r="P15" s="13" t="s">
        <v>338</v>
      </c>
      <c r="Q15" s="41">
        <v>3359.0</v>
      </c>
    </row>
    <row r="16">
      <c r="A16" s="11" t="s">
        <v>341</v>
      </c>
      <c r="B16" s="31">
        <v>101.0</v>
      </c>
      <c r="P16" s="13" t="s">
        <v>340</v>
      </c>
      <c r="Q16" s="41">
        <v>3115.0</v>
      </c>
    </row>
    <row r="17">
      <c r="P17" s="13" t="s">
        <v>342</v>
      </c>
      <c r="Q17" s="41">
        <v>3295.0</v>
      </c>
    </row>
    <row r="18">
      <c r="P18" s="13" t="s">
        <v>343</v>
      </c>
      <c r="Q18" s="41">
        <v>1384.0</v>
      </c>
    </row>
    <row r="19">
      <c r="P19" s="13" t="s">
        <v>464</v>
      </c>
      <c r="Q19" s="41">
        <v>579.0</v>
      </c>
    </row>
    <row r="20">
      <c r="A20" s="28" t="s">
        <v>345</v>
      </c>
    </row>
    <row r="22">
      <c r="A22" s="1" t="s">
        <v>388</v>
      </c>
      <c r="P22" s="43" t="s">
        <v>346</v>
      </c>
    </row>
    <row r="23">
      <c r="A23" s="44" t="s">
        <v>332</v>
      </c>
      <c r="B23" s="44" t="s">
        <v>333</v>
      </c>
      <c r="P23" s="13" t="s">
        <v>348</v>
      </c>
      <c r="Q23" s="41">
        <v>9904.0</v>
      </c>
    </row>
    <row r="24">
      <c r="A24" s="11" t="s">
        <v>535</v>
      </c>
      <c r="B24" s="31">
        <v>29.0</v>
      </c>
      <c r="P24" s="13" t="s">
        <v>349</v>
      </c>
      <c r="Q24" s="41">
        <v>14.0</v>
      </c>
    </row>
    <row r="25">
      <c r="A25" s="11" t="s">
        <v>339</v>
      </c>
      <c r="B25" s="31">
        <v>11.0</v>
      </c>
      <c r="P25" s="13" t="s">
        <v>351</v>
      </c>
      <c r="Q25" s="41">
        <v>146.0</v>
      </c>
    </row>
    <row r="26">
      <c r="A26" s="11" t="s">
        <v>341</v>
      </c>
      <c r="B26" s="31">
        <v>97.0</v>
      </c>
      <c r="P26" s="13" t="s">
        <v>352</v>
      </c>
      <c r="Q26" s="41">
        <v>24.0</v>
      </c>
    </row>
    <row r="27">
      <c r="P27" s="13" t="s">
        <v>353</v>
      </c>
      <c r="Q27" s="41">
        <v>69.0</v>
      </c>
    </row>
    <row r="28">
      <c r="P28" s="13" t="s">
        <v>354</v>
      </c>
      <c r="Q28" s="41">
        <v>2132.0</v>
      </c>
    </row>
    <row r="29">
      <c r="P29" s="13" t="s">
        <v>355</v>
      </c>
      <c r="Q29" s="41">
        <v>972.0</v>
      </c>
    </row>
    <row r="30">
      <c r="A30" s="1" t="s">
        <v>347</v>
      </c>
      <c r="P30" s="13" t="s">
        <v>356</v>
      </c>
      <c r="Q30" s="41">
        <v>52.0</v>
      </c>
    </row>
    <row r="31">
      <c r="A31" s="44" t="s">
        <v>332</v>
      </c>
      <c r="B31" s="44" t="s">
        <v>333</v>
      </c>
      <c r="P31" s="13" t="s">
        <v>358</v>
      </c>
      <c r="Q31" s="41">
        <v>0.0</v>
      </c>
    </row>
    <row r="32">
      <c r="A32" s="11" t="s">
        <v>532</v>
      </c>
      <c r="B32" s="31">
        <v>886.0</v>
      </c>
      <c r="P32" s="13" t="s">
        <v>359</v>
      </c>
      <c r="Q32" s="41">
        <v>374.0</v>
      </c>
    </row>
    <row r="33">
      <c r="A33" s="11" t="s">
        <v>339</v>
      </c>
      <c r="B33" s="31">
        <v>332.0</v>
      </c>
      <c r="P33" s="13" t="s">
        <v>360</v>
      </c>
      <c r="Q33" s="41">
        <v>106.0</v>
      </c>
    </row>
    <row r="34">
      <c r="A34" s="11" t="s">
        <v>341</v>
      </c>
      <c r="B34" s="31">
        <v>72.0</v>
      </c>
      <c r="P34" s="13" t="s">
        <v>361</v>
      </c>
      <c r="Q34" s="41">
        <v>4315.0</v>
      </c>
    </row>
    <row r="35">
      <c r="P35" s="13" t="s">
        <v>363</v>
      </c>
      <c r="Q35" s="41">
        <v>12.0</v>
      </c>
    </row>
    <row r="36">
      <c r="P36" s="13" t="s">
        <v>364</v>
      </c>
      <c r="Q36" s="41">
        <v>661.0</v>
      </c>
    </row>
    <row r="37">
      <c r="P37" s="13" t="s">
        <v>365</v>
      </c>
      <c r="Q37" s="41">
        <v>271.0</v>
      </c>
    </row>
    <row r="38">
      <c r="A38" s="1" t="s">
        <v>357</v>
      </c>
      <c r="P38" s="13" t="s">
        <v>366</v>
      </c>
      <c r="Q38" s="41">
        <v>61.0</v>
      </c>
    </row>
    <row r="39">
      <c r="A39" s="44" t="s">
        <v>332</v>
      </c>
      <c r="B39" s="44" t="s">
        <v>333</v>
      </c>
      <c r="P39" s="13" t="s">
        <v>367</v>
      </c>
      <c r="Q39" s="41">
        <v>350.0</v>
      </c>
    </row>
    <row r="40">
      <c r="A40" s="11" t="s">
        <v>536</v>
      </c>
      <c r="B40" s="31">
        <v>2389.0</v>
      </c>
      <c r="P40" s="13" t="s">
        <v>368</v>
      </c>
      <c r="Q40" s="41">
        <v>1694.0</v>
      </c>
    </row>
    <row r="41">
      <c r="A41" s="11" t="s">
        <v>534</v>
      </c>
      <c r="B41" s="31">
        <v>1582.0</v>
      </c>
      <c r="P41" s="13" t="s">
        <v>369</v>
      </c>
      <c r="Q41" s="41">
        <v>381.0</v>
      </c>
    </row>
    <row r="42">
      <c r="A42" s="11" t="s">
        <v>537</v>
      </c>
      <c r="B42" s="31">
        <v>861.0</v>
      </c>
      <c r="P42" s="13" t="s">
        <v>370</v>
      </c>
      <c r="Q42" s="41">
        <v>0.0</v>
      </c>
    </row>
    <row r="43">
      <c r="A43" s="11" t="s">
        <v>339</v>
      </c>
      <c r="B43" s="31">
        <v>566.0</v>
      </c>
    </row>
    <row r="44">
      <c r="A44" s="11" t="s">
        <v>341</v>
      </c>
      <c r="B44" s="31">
        <v>141.0</v>
      </c>
    </row>
    <row r="45">
      <c r="P45" s="43" t="s">
        <v>372</v>
      </c>
    </row>
    <row r="46">
      <c r="P46" s="13" t="s">
        <v>373</v>
      </c>
      <c r="Q46" s="41">
        <v>0.28500000000000003</v>
      </c>
    </row>
    <row r="47">
      <c r="P47" s="13" t="s">
        <v>465</v>
      </c>
      <c r="Q47" s="41">
        <v>0.295</v>
      </c>
    </row>
    <row r="48">
      <c r="P48" s="13" t="s">
        <v>466</v>
      </c>
      <c r="Q48" s="41">
        <v>0.205</v>
      </c>
    </row>
    <row r="49">
      <c r="P49" s="13" t="s">
        <v>467</v>
      </c>
      <c r="Q49" s="41">
        <v>0.087</v>
      </c>
    </row>
    <row r="50">
      <c r="P50" s="13" t="s">
        <v>377</v>
      </c>
      <c r="Q50" s="41">
        <v>0.127</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1824.8999999999999</v>
      </c>
      <c r="P2" s="1" t="s">
        <v>538</v>
      </c>
    </row>
    <row r="3">
      <c r="A3" s="1" t="s">
        <v>380</v>
      </c>
    </row>
    <row r="4">
      <c r="A4" s="44" t="s">
        <v>332</v>
      </c>
      <c r="B4" s="44" t="s">
        <v>333</v>
      </c>
      <c r="P4" s="13" t="s">
        <v>460</v>
      </c>
      <c r="Q4" s="41">
        <v>-1364.1000000000001</v>
      </c>
    </row>
    <row r="5">
      <c r="A5" s="11" t="s">
        <v>539</v>
      </c>
      <c r="B5" s="31">
        <v>647.0</v>
      </c>
      <c r="P5" s="13" t="s">
        <v>462</v>
      </c>
      <c r="Q5" s="41">
        <v>-145.10000000000014</v>
      </c>
    </row>
    <row r="6">
      <c r="A6" s="11" t="s">
        <v>339</v>
      </c>
      <c r="B6" s="31">
        <v>196.0</v>
      </c>
      <c r="P6" s="13" t="s">
        <v>463</v>
      </c>
      <c r="Q6" s="41">
        <v>-11188.722000000002</v>
      </c>
    </row>
    <row r="7">
      <c r="A7" s="11" t="s">
        <v>341</v>
      </c>
      <c r="B7" s="31">
        <v>71.0</v>
      </c>
    </row>
    <row r="10">
      <c r="P10" s="43" t="s">
        <v>328</v>
      </c>
    </row>
    <row r="11">
      <c r="A11" s="1" t="s">
        <v>330</v>
      </c>
      <c r="P11" s="13" t="s">
        <v>329</v>
      </c>
      <c r="Q11" s="41">
        <v>2950.0</v>
      </c>
    </row>
    <row r="12">
      <c r="A12" s="44" t="s">
        <v>332</v>
      </c>
      <c r="B12" s="44" t="s">
        <v>333</v>
      </c>
      <c r="P12" s="13" t="s">
        <v>331</v>
      </c>
      <c r="Q12" s="41">
        <v>2456.0</v>
      </c>
    </row>
    <row r="13">
      <c r="A13" s="11" t="s">
        <v>540</v>
      </c>
      <c r="B13" s="31">
        <v>1384.0</v>
      </c>
      <c r="P13" s="13" t="s">
        <v>334</v>
      </c>
      <c r="Q13" s="41">
        <v>3674.0</v>
      </c>
    </row>
    <row r="14">
      <c r="A14" s="11" t="s">
        <v>541</v>
      </c>
      <c r="B14" s="31">
        <v>697.0</v>
      </c>
      <c r="P14" s="13" t="s">
        <v>336</v>
      </c>
      <c r="Q14" s="41">
        <v>3544.0</v>
      </c>
    </row>
    <row r="15">
      <c r="A15" s="11" t="s">
        <v>339</v>
      </c>
      <c r="B15" s="31">
        <v>259.0</v>
      </c>
      <c r="P15" s="13" t="s">
        <v>338</v>
      </c>
      <c r="Q15" s="41">
        <v>3893.0</v>
      </c>
    </row>
    <row r="16">
      <c r="A16" s="11" t="s">
        <v>341</v>
      </c>
      <c r="B16" s="31">
        <v>109.0</v>
      </c>
      <c r="P16" s="13" t="s">
        <v>340</v>
      </c>
      <c r="Q16" s="41">
        <v>3679.0</v>
      </c>
    </row>
    <row r="17">
      <c r="P17" s="13" t="s">
        <v>342</v>
      </c>
      <c r="Q17" s="41">
        <v>3177.0</v>
      </c>
    </row>
    <row r="18">
      <c r="P18" s="13" t="s">
        <v>343</v>
      </c>
      <c r="Q18" s="41">
        <v>1189.0</v>
      </c>
    </row>
    <row r="19">
      <c r="P19" s="13" t="s">
        <v>464</v>
      </c>
      <c r="Q19" s="41">
        <v>462.0</v>
      </c>
    </row>
    <row r="20">
      <c r="A20" s="28" t="s">
        <v>345</v>
      </c>
    </row>
    <row r="22">
      <c r="A22" s="1" t="s">
        <v>479</v>
      </c>
      <c r="P22" s="43" t="s">
        <v>346</v>
      </c>
    </row>
    <row r="23">
      <c r="A23" s="44" t="s">
        <v>332</v>
      </c>
      <c r="B23" s="44" t="s">
        <v>333</v>
      </c>
      <c r="P23" s="13" t="s">
        <v>348</v>
      </c>
      <c r="Q23" s="41">
        <v>8723.0</v>
      </c>
    </row>
    <row r="24">
      <c r="A24" s="11" t="s">
        <v>542</v>
      </c>
      <c r="B24" s="31">
        <v>73.0</v>
      </c>
      <c r="P24" s="13" t="s">
        <v>349</v>
      </c>
      <c r="Q24" s="41">
        <v>124.0</v>
      </c>
    </row>
    <row r="25">
      <c r="A25" s="11" t="s">
        <v>339</v>
      </c>
      <c r="B25" s="31">
        <v>7.0</v>
      </c>
      <c r="P25" s="13" t="s">
        <v>351</v>
      </c>
      <c r="Q25" s="41">
        <v>91.0</v>
      </c>
    </row>
    <row r="26">
      <c r="A26" s="11" t="s">
        <v>341</v>
      </c>
      <c r="B26" s="31">
        <v>114.0</v>
      </c>
      <c r="P26" s="13" t="s">
        <v>352</v>
      </c>
      <c r="Q26" s="41">
        <v>62.0</v>
      </c>
    </row>
    <row r="27">
      <c r="P27" s="13" t="s">
        <v>353</v>
      </c>
      <c r="Q27" s="41">
        <v>232.0</v>
      </c>
    </row>
    <row r="28">
      <c r="P28" s="13" t="s">
        <v>354</v>
      </c>
      <c r="Q28" s="41">
        <v>5191.0</v>
      </c>
    </row>
    <row r="29">
      <c r="P29" s="13" t="s">
        <v>355</v>
      </c>
      <c r="Q29" s="41">
        <v>1561.0</v>
      </c>
    </row>
    <row r="30">
      <c r="A30" s="1" t="s">
        <v>347</v>
      </c>
      <c r="P30" s="13" t="s">
        <v>356</v>
      </c>
      <c r="Q30" s="41">
        <v>26.0</v>
      </c>
    </row>
    <row r="31">
      <c r="A31" s="44" t="s">
        <v>332</v>
      </c>
      <c r="B31" s="44" t="s">
        <v>333</v>
      </c>
      <c r="P31" s="13" t="s">
        <v>358</v>
      </c>
      <c r="Q31" s="41">
        <v>190.0</v>
      </c>
    </row>
    <row r="32">
      <c r="A32" s="11" t="s">
        <v>539</v>
      </c>
      <c r="B32" s="31">
        <v>862.0</v>
      </c>
      <c r="P32" s="13" t="s">
        <v>359</v>
      </c>
      <c r="Q32" s="41">
        <v>528.0</v>
      </c>
    </row>
    <row r="33">
      <c r="A33" s="11" t="s">
        <v>339</v>
      </c>
      <c r="B33" s="31">
        <v>439.0</v>
      </c>
      <c r="P33" s="13" t="s">
        <v>360</v>
      </c>
      <c r="Q33" s="41">
        <v>11.0</v>
      </c>
    </row>
    <row r="34">
      <c r="A34" s="11" t="s">
        <v>341</v>
      </c>
      <c r="B34" s="31">
        <v>92.0</v>
      </c>
      <c r="P34" s="13" t="s">
        <v>361</v>
      </c>
      <c r="Q34" s="41">
        <v>1970.0</v>
      </c>
    </row>
    <row r="35">
      <c r="P35" s="13" t="s">
        <v>363</v>
      </c>
      <c r="Q35" s="41">
        <v>65.0</v>
      </c>
    </row>
    <row r="36">
      <c r="P36" s="13" t="s">
        <v>364</v>
      </c>
      <c r="Q36" s="41">
        <v>700.0</v>
      </c>
    </row>
    <row r="37">
      <c r="P37" s="13" t="s">
        <v>365</v>
      </c>
      <c r="Q37" s="41">
        <v>485.0</v>
      </c>
    </row>
    <row r="38">
      <c r="A38" s="1" t="s">
        <v>357</v>
      </c>
      <c r="P38" s="13" t="s">
        <v>366</v>
      </c>
      <c r="Q38" s="41">
        <v>111.0</v>
      </c>
    </row>
    <row r="39">
      <c r="A39" s="44" t="s">
        <v>332</v>
      </c>
      <c r="B39" s="44" t="s">
        <v>333</v>
      </c>
      <c r="P39" s="13" t="s">
        <v>367</v>
      </c>
      <c r="Q39" s="41">
        <v>82.0</v>
      </c>
    </row>
    <row r="40">
      <c r="A40" s="11" t="s">
        <v>540</v>
      </c>
      <c r="B40" s="31">
        <v>1994.0</v>
      </c>
      <c r="P40" s="13" t="s">
        <v>368</v>
      </c>
      <c r="Q40" s="41">
        <v>695.0</v>
      </c>
    </row>
    <row r="41">
      <c r="A41" s="11" t="s">
        <v>541</v>
      </c>
      <c r="B41" s="31">
        <v>1136.0</v>
      </c>
      <c r="P41" s="13" t="s">
        <v>369</v>
      </c>
      <c r="Q41" s="41">
        <v>1596.0</v>
      </c>
    </row>
    <row r="42">
      <c r="A42" s="11" t="s">
        <v>339</v>
      </c>
      <c r="B42" s="31">
        <v>352.0</v>
      </c>
      <c r="P42" s="13" t="s">
        <v>370</v>
      </c>
      <c r="Q42" s="41">
        <v>0.0</v>
      </c>
    </row>
    <row r="43">
      <c r="A43" s="11" t="s">
        <v>341</v>
      </c>
      <c r="B43" s="31">
        <v>152.0</v>
      </c>
    </row>
    <row r="45">
      <c r="P45" s="43" t="s">
        <v>372</v>
      </c>
    </row>
    <row r="46">
      <c r="P46" s="13" t="s">
        <v>373</v>
      </c>
      <c r="Q46" s="41">
        <v>0.187</v>
      </c>
    </row>
    <row r="47">
      <c r="P47" s="13" t="s">
        <v>465</v>
      </c>
      <c r="Q47" s="41">
        <v>0.29900000000000004</v>
      </c>
    </row>
    <row r="48">
      <c r="P48" s="13" t="s">
        <v>466</v>
      </c>
      <c r="Q48" s="41">
        <v>0.173</v>
      </c>
    </row>
    <row r="49">
      <c r="P49" s="13" t="s">
        <v>467</v>
      </c>
      <c r="Q49" s="41">
        <v>0.149</v>
      </c>
    </row>
    <row r="50">
      <c r="P50" s="13" t="s">
        <v>377</v>
      </c>
      <c r="Q50" s="41">
        <v>0.192</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2315.4</v>
      </c>
      <c r="P2" s="1" t="s">
        <v>543</v>
      </c>
    </row>
    <row r="3">
      <c r="A3" s="1" t="s">
        <v>380</v>
      </c>
    </row>
    <row r="4">
      <c r="A4" s="44" t="s">
        <v>332</v>
      </c>
      <c r="B4" s="44" t="s">
        <v>333</v>
      </c>
      <c r="P4" s="13" t="s">
        <v>460</v>
      </c>
      <c r="Q4" s="41">
        <v>-562.5999999999999</v>
      </c>
    </row>
    <row r="5">
      <c r="A5" s="11" t="s">
        <v>544</v>
      </c>
      <c r="B5" s="31">
        <v>444.0</v>
      </c>
      <c r="P5" s="13" t="s">
        <v>462</v>
      </c>
      <c r="Q5" s="41">
        <v>-433.5999999999999</v>
      </c>
    </row>
    <row r="6">
      <c r="A6" s="11" t="s">
        <v>339</v>
      </c>
      <c r="B6" s="31">
        <v>411.0</v>
      </c>
      <c r="P6" s="13" t="s">
        <v>463</v>
      </c>
      <c r="Q6" s="41">
        <v>-10793.465</v>
      </c>
    </row>
    <row r="7">
      <c r="A7" s="11" t="s">
        <v>341</v>
      </c>
      <c r="B7" s="31">
        <v>42.0</v>
      </c>
    </row>
    <row r="10">
      <c r="P10" s="43" t="s">
        <v>328</v>
      </c>
    </row>
    <row r="11">
      <c r="A11" s="1" t="s">
        <v>330</v>
      </c>
      <c r="P11" s="13" t="s">
        <v>329</v>
      </c>
      <c r="Q11" s="41">
        <v>2960.0</v>
      </c>
    </row>
    <row r="12">
      <c r="A12" s="44" t="s">
        <v>332</v>
      </c>
      <c r="B12" s="44" t="s">
        <v>333</v>
      </c>
      <c r="P12" s="13" t="s">
        <v>331</v>
      </c>
      <c r="Q12" s="41">
        <v>2235.0</v>
      </c>
    </row>
    <row r="13">
      <c r="A13" s="11" t="s">
        <v>545</v>
      </c>
      <c r="B13" s="31">
        <v>2617.0</v>
      </c>
      <c r="P13" s="13" t="s">
        <v>334</v>
      </c>
      <c r="Q13" s="41">
        <v>2378.0</v>
      </c>
    </row>
    <row r="14">
      <c r="A14" s="11" t="s">
        <v>339</v>
      </c>
      <c r="B14" s="31">
        <v>669.0</v>
      </c>
      <c r="P14" s="13" t="s">
        <v>336</v>
      </c>
      <c r="Q14" s="41">
        <v>3393.0</v>
      </c>
    </row>
    <row r="15">
      <c r="A15" s="11" t="s">
        <v>341</v>
      </c>
      <c r="B15" s="31">
        <v>60.0</v>
      </c>
      <c r="P15" s="13" t="s">
        <v>338</v>
      </c>
      <c r="Q15" s="41">
        <v>3127.0</v>
      </c>
    </row>
    <row r="16">
      <c r="B16" s="17">
        <f>B14/(B13+B15)</f>
        <v>0.2499066119</v>
      </c>
      <c r="C16" s="49">
        <v>0.2</v>
      </c>
      <c r="P16" s="13" t="s">
        <v>340</v>
      </c>
      <c r="Q16" s="41">
        <v>3187.0</v>
      </c>
    </row>
    <row r="17">
      <c r="P17" s="13" t="s">
        <v>342</v>
      </c>
      <c r="Q17" s="41">
        <v>3531.0</v>
      </c>
    </row>
    <row r="18">
      <c r="P18" s="13" t="s">
        <v>343</v>
      </c>
      <c r="Q18" s="41">
        <v>1574.0</v>
      </c>
    </row>
    <row r="19">
      <c r="A19" s="28" t="s">
        <v>345</v>
      </c>
      <c r="P19" s="13" t="s">
        <v>464</v>
      </c>
      <c r="Q19" s="41">
        <v>418.0</v>
      </c>
    </row>
    <row r="21">
      <c r="A21" s="1" t="s">
        <v>347</v>
      </c>
    </row>
    <row r="22">
      <c r="A22" s="44" t="s">
        <v>332</v>
      </c>
      <c r="B22" s="44" t="s">
        <v>333</v>
      </c>
      <c r="P22" s="43" t="s">
        <v>346</v>
      </c>
    </row>
    <row r="23">
      <c r="A23" s="11" t="s">
        <v>546</v>
      </c>
      <c r="B23" s="31">
        <v>748.0</v>
      </c>
      <c r="P23" s="13" t="s">
        <v>348</v>
      </c>
      <c r="Q23" s="41">
        <v>9639.0</v>
      </c>
    </row>
    <row r="24">
      <c r="A24" s="11" t="s">
        <v>339</v>
      </c>
      <c r="B24" s="31">
        <v>607.0</v>
      </c>
      <c r="P24" s="13" t="s">
        <v>349</v>
      </c>
      <c r="Q24" s="41">
        <v>147.0</v>
      </c>
    </row>
    <row r="25">
      <c r="A25" s="11" t="s">
        <v>341</v>
      </c>
      <c r="B25" s="31">
        <v>55.0</v>
      </c>
      <c r="P25" s="13" t="s">
        <v>351</v>
      </c>
      <c r="Q25" s="41">
        <v>43.0</v>
      </c>
    </row>
    <row r="26">
      <c r="P26" s="13" t="s">
        <v>352</v>
      </c>
      <c r="Q26" s="41">
        <v>39.0</v>
      </c>
    </row>
    <row r="27">
      <c r="P27" s="13" t="s">
        <v>353</v>
      </c>
      <c r="Q27" s="41">
        <v>174.0</v>
      </c>
    </row>
    <row r="28">
      <c r="P28" s="13" t="s">
        <v>354</v>
      </c>
      <c r="Q28" s="41">
        <v>2113.0</v>
      </c>
    </row>
    <row r="29">
      <c r="A29" s="1" t="s">
        <v>357</v>
      </c>
      <c r="P29" s="13" t="s">
        <v>355</v>
      </c>
      <c r="Q29" s="41">
        <v>2223.0</v>
      </c>
    </row>
    <row r="30">
      <c r="A30" s="44" t="s">
        <v>332</v>
      </c>
      <c r="B30" s="44" t="s">
        <v>333</v>
      </c>
      <c r="P30" s="13" t="s">
        <v>356</v>
      </c>
      <c r="Q30" s="41">
        <v>57.0</v>
      </c>
    </row>
    <row r="31">
      <c r="A31" s="11" t="s">
        <v>545</v>
      </c>
      <c r="B31" s="31">
        <v>3315.0</v>
      </c>
      <c r="P31" s="13" t="s">
        <v>358</v>
      </c>
      <c r="Q31" s="41">
        <v>2.0</v>
      </c>
    </row>
    <row r="32">
      <c r="A32" s="11" t="s">
        <v>339</v>
      </c>
      <c r="B32" s="31">
        <v>963.0</v>
      </c>
      <c r="P32" s="13" t="s">
        <v>359</v>
      </c>
      <c r="Q32" s="41">
        <v>472.0</v>
      </c>
    </row>
    <row r="33">
      <c r="A33" s="11" t="s">
        <v>341</v>
      </c>
      <c r="B33" s="31">
        <v>94.0</v>
      </c>
      <c r="P33" s="13" t="s">
        <v>360</v>
      </c>
      <c r="Q33" s="41">
        <v>33.0</v>
      </c>
    </row>
    <row r="34">
      <c r="P34" s="13" t="s">
        <v>361</v>
      </c>
      <c r="Q34" s="41">
        <v>2749.0</v>
      </c>
    </row>
    <row r="35">
      <c r="P35" s="13" t="s">
        <v>363</v>
      </c>
      <c r="Q35" s="41">
        <v>19.0</v>
      </c>
    </row>
    <row r="36">
      <c r="P36" s="13" t="s">
        <v>364</v>
      </c>
      <c r="Q36" s="41">
        <v>469.0</v>
      </c>
    </row>
    <row r="37">
      <c r="P37" s="13" t="s">
        <v>365</v>
      </c>
      <c r="Q37" s="41">
        <v>415.0</v>
      </c>
    </row>
    <row r="38">
      <c r="P38" s="13" t="s">
        <v>366</v>
      </c>
      <c r="Q38" s="41">
        <v>80.0</v>
      </c>
    </row>
    <row r="39">
      <c r="P39" s="13" t="s">
        <v>367</v>
      </c>
      <c r="Q39" s="41">
        <v>365.0</v>
      </c>
    </row>
    <row r="40">
      <c r="P40" s="13" t="s">
        <v>368</v>
      </c>
      <c r="Q40" s="41">
        <v>741.0</v>
      </c>
    </row>
    <row r="41">
      <c r="P41" s="13" t="s">
        <v>369</v>
      </c>
      <c r="Q41" s="41">
        <v>312.0</v>
      </c>
    </row>
    <row r="42">
      <c r="P42" s="13" t="s">
        <v>370</v>
      </c>
      <c r="Q42" s="41">
        <v>0.0</v>
      </c>
    </row>
    <row r="45">
      <c r="P45" s="43" t="s">
        <v>372</v>
      </c>
    </row>
    <row r="46">
      <c r="P46" s="13" t="s">
        <v>373</v>
      </c>
      <c r="Q46" s="41">
        <v>0.245</v>
      </c>
    </row>
    <row r="47">
      <c r="P47" s="13" t="s">
        <v>465</v>
      </c>
      <c r="Q47" s="41">
        <v>0.308</v>
      </c>
    </row>
    <row r="48">
      <c r="P48" s="13" t="s">
        <v>466</v>
      </c>
      <c r="Q48" s="41">
        <v>0.208</v>
      </c>
    </row>
    <row r="49">
      <c r="P49" s="13" t="s">
        <v>467</v>
      </c>
      <c r="Q49" s="41">
        <v>0.091</v>
      </c>
    </row>
    <row r="50">
      <c r="P50" s="13" t="s">
        <v>377</v>
      </c>
      <c r="Q50" s="41">
        <v>0.147</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2766.6</v>
      </c>
      <c r="P2" s="1" t="s">
        <v>547</v>
      </c>
    </row>
    <row r="3">
      <c r="A3" s="1" t="s">
        <v>380</v>
      </c>
    </row>
    <row r="4">
      <c r="A4" s="44" t="s">
        <v>332</v>
      </c>
      <c r="B4" s="44" t="s">
        <v>333</v>
      </c>
      <c r="P4" s="13" t="s">
        <v>460</v>
      </c>
      <c r="Q4" s="41">
        <v>-74.40000000000009</v>
      </c>
    </row>
    <row r="5">
      <c r="A5" s="11" t="s">
        <v>548</v>
      </c>
      <c r="B5" s="31">
        <v>657.0</v>
      </c>
      <c r="P5" s="13" t="s">
        <v>462</v>
      </c>
      <c r="Q5" s="41">
        <v>1384.6</v>
      </c>
    </row>
    <row r="6">
      <c r="A6" s="11" t="s">
        <v>339</v>
      </c>
      <c r="B6" s="31">
        <v>352.0</v>
      </c>
      <c r="P6" s="13" t="s">
        <v>463</v>
      </c>
      <c r="Q6" s="41">
        <v>-10446.584</v>
      </c>
    </row>
    <row r="7">
      <c r="A7" s="11" t="s">
        <v>341</v>
      </c>
      <c r="B7" s="31">
        <v>86.0</v>
      </c>
    </row>
    <row r="10">
      <c r="P10" s="43" t="s">
        <v>328</v>
      </c>
    </row>
    <row r="11">
      <c r="A11" s="1" t="s">
        <v>330</v>
      </c>
      <c r="P11" s="13" t="s">
        <v>329</v>
      </c>
      <c r="Q11" s="41">
        <v>3077.0</v>
      </c>
    </row>
    <row r="12">
      <c r="A12" s="44" t="s">
        <v>332</v>
      </c>
      <c r="B12" s="44" t="s">
        <v>333</v>
      </c>
      <c r="P12" s="13" t="s">
        <v>331</v>
      </c>
      <c r="Q12" s="41">
        <v>2448.0</v>
      </c>
    </row>
    <row r="13">
      <c r="A13" s="11" t="s">
        <v>549</v>
      </c>
      <c r="B13" s="31">
        <v>3228.0</v>
      </c>
      <c r="P13" s="13" t="s">
        <v>334</v>
      </c>
      <c r="Q13" s="41">
        <v>3009.0</v>
      </c>
    </row>
    <row r="14">
      <c r="A14" s="11" t="s">
        <v>339</v>
      </c>
      <c r="B14" s="31">
        <v>844.0</v>
      </c>
      <c r="P14" s="13" t="s">
        <v>336</v>
      </c>
      <c r="Q14" s="41">
        <v>3760.0</v>
      </c>
    </row>
    <row r="15">
      <c r="A15" s="11" t="s">
        <v>341</v>
      </c>
      <c r="B15" s="31">
        <v>103.0</v>
      </c>
      <c r="P15" s="13" t="s">
        <v>338</v>
      </c>
      <c r="Q15" s="41">
        <v>2914.0</v>
      </c>
    </row>
    <row r="16">
      <c r="P16" s="13" t="s">
        <v>340</v>
      </c>
      <c r="Q16" s="41">
        <v>3613.0</v>
      </c>
    </row>
    <row r="17">
      <c r="B17" s="17">
        <f>B14/(B13+B15)</f>
        <v>0.2533773642</v>
      </c>
      <c r="P17" s="13" t="s">
        <v>342</v>
      </c>
      <c r="Q17" s="41">
        <v>3076.0</v>
      </c>
    </row>
    <row r="18">
      <c r="P18" s="13" t="s">
        <v>343</v>
      </c>
      <c r="Q18" s="41">
        <v>1520.0</v>
      </c>
    </row>
    <row r="19">
      <c r="A19" s="28" t="s">
        <v>345</v>
      </c>
      <c r="P19" s="13" t="s">
        <v>464</v>
      </c>
      <c r="Q19" s="41">
        <v>783.0</v>
      </c>
    </row>
    <row r="20">
      <c r="S20" s="17">
        <f>SUM(Q11:Q19)</f>
        <v>24200</v>
      </c>
    </row>
    <row r="21">
      <c r="A21" s="1" t="s">
        <v>347</v>
      </c>
    </row>
    <row r="22">
      <c r="A22" s="44" t="s">
        <v>332</v>
      </c>
      <c r="B22" s="44" t="s">
        <v>333</v>
      </c>
      <c r="P22" s="43" t="s">
        <v>346</v>
      </c>
    </row>
    <row r="23">
      <c r="A23" s="11" t="s">
        <v>548</v>
      </c>
      <c r="B23" s="31">
        <v>908.0</v>
      </c>
      <c r="P23" s="13" t="s">
        <v>348</v>
      </c>
      <c r="Q23" s="41">
        <v>6539.0</v>
      </c>
    </row>
    <row r="24">
      <c r="A24" s="11" t="s">
        <v>339</v>
      </c>
      <c r="B24" s="31">
        <v>471.0</v>
      </c>
      <c r="P24" s="13" t="s">
        <v>349</v>
      </c>
      <c r="Q24" s="41">
        <v>220.0</v>
      </c>
    </row>
    <row r="25">
      <c r="A25" s="11" t="s">
        <v>341</v>
      </c>
      <c r="B25" s="31">
        <v>58.0</v>
      </c>
      <c r="P25" s="13" t="s">
        <v>351</v>
      </c>
      <c r="Q25" s="41">
        <v>39.0</v>
      </c>
    </row>
    <row r="26">
      <c r="P26" s="13" t="s">
        <v>352</v>
      </c>
      <c r="Q26" s="41">
        <v>3.0</v>
      </c>
    </row>
    <row r="27">
      <c r="P27" s="13" t="s">
        <v>353</v>
      </c>
      <c r="Q27" s="41">
        <v>263.0</v>
      </c>
    </row>
    <row r="28">
      <c r="P28" s="13" t="s">
        <v>354</v>
      </c>
      <c r="Q28" s="41">
        <v>5586.0</v>
      </c>
    </row>
    <row r="29">
      <c r="A29" s="1" t="s">
        <v>357</v>
      </c>
      <c r="P29" s="13" t="s">
        <v>355</v>
      </c>
      <c r="Q29" s="41">
        <v>2735.0</v>
      </c>
    </row>
    <row r="30">
      <c r="A30" s="44" t="s">
        <v>332</v>
      </c>
      <c r="B30" s="44" t="s">
        <v>333</v>
      </c>
      <c r="P30" s="13" t="s">
        <v>356</v>
      </c>
      <c r="Q30" s="41">
        <v>30.0</v>
      </c>
    </row>
    <row r="31">
      <c r="A31" s="11" t="s">
        <v>550</v>
      </c>
      <c r="B31" s="31">
        <v>3736.0</v>
      </c>
      <c r="P31" s="13" t="s">
        <v>358</v>
      </c>
      <c r="Q31" s="41">
        <v>43.0</v>
      </c>
    </row>
    <row r="32">
      <c r="A32" s="11" t="s">
        <v>339</v>
      </c>
      <c r="B32" s="31">
        <v>1210.0</v>
      </c>
      <c r="P32" s="13" t="s">
        <v>359</v>
      </c>
      <c r="Q32" s="41">
        <v>705.0</v>
      </c>
    </row>
    <row r="33">
      <c r="A33" s="11" t="s">
        <v>341</v>
      </c>
      <c r="B33" s="31">
        <v>101.0</v>
      </c>
      <c r="P33" s="13" t="s">
        <v>360</v>
      </c>
      <c r="Q33" s="41">
        <v>26.0</v>
      </c>
    </row>
    <row r="34">
      <c r="P34" s="13" t="s">
        <v>361</v>
      </c>
      <c r="Q34" s="41">
        <v>1382.0</v>
      </c>
    </row>
    <row r="35">
      <c r="P35" s="13" t="s">
        <v>363</v>
      </c>
      <c r="Q35" s="41">
        <v>36.0</v>
      </c>
    </row>
    <row r="36">
      <c r="P36" s="13" t="s">
        <v>364</v>
      </c>
      <c r="Q36" s="41">
        <v>334.0</v>
      </c>
    </row>
    <row r="37">
      <c r="P37" s="13" t="s">
        <v>365</v>
      </c>
      <c r="Q37" s="41">
        <v>371.0</v>
      </c>
    </row>
    <row r="38">
      <c r="P38" s="13" t="s">
        <v>366</v>
      </c>
      <c r="Q38" s="41">
        <v>0.0</v>
      </c>
    </row>
    <row r="39">
      <c r="P39" s="13" t="s">
        <v>367</v>
      </c>
      <c r="Q39" s="41">
        <v>148.0</v>
      </c>
    </row>
    <row r="40">
      <c r="P40" s="13" t="s">
        <v>368</v>
      </c>
      <c r="Q40" s="41">
        <v>1199.0</v>
      </c>
    </row>
    <row r="41">
      <c r="P41" s="13" t="s">
        <v>369</v>
      </c>
      <c r="Q41" s="41">
        <v>414.0</v>
      </c>
    </row>
    <row r="42">
      <c r="P42" s="13" t="s">
        <v>370</v>
      </c>
      <c r="Q42" s="41">
        <v>10.0</v>
      </c>
    </row>
    <row r="45">
      <c r="P45" s="43" t="s">
        <v>372</v>
      </c>
    </row>
    <row r="46">
      <c r="P46" s="13" t="s">
        <v>373</v>
      </c>
      <c r="Q46" s="41">
        <v>0.197</v>
      </c>
    </row>
    <row r="47">
      <c r="P47" s="13" t="s">
        <v>465</v>
      </c>
      <c r="Q47" s="41">
        <v>0.315</v>
      </c>
    </row>
    <row r="48">
      <c r="P48" s="13" t="s">
        <v>466</v>
      </c>
      <c r="Q48" s="41">
        <v>0.186</v>
      </c>
    </row>
    <row r="49">
      <c r="P49" s="13" t="s">
        <v>467</v>
      </c>
      <c r="Q49" s="41">
        <v>0.131</v>
      </c>
    </row>
    <row r="50">
      <c r="P50" s="13" t="s">
        <v>377</v>
      </c>
      <c r="Q50" s="41">
        <v>0.173</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3"/>
    <col customWidth="1" min="13" max="13" width="53.13"/>
    <col customWidth="1" min="14" max="14" width="9.13"/>
  </cols>
  <sheetData>
    <row r="1">
      <c r="A1" s="28" t="s">
        <v>327</v>
      </c>
      <c r="N1" s="1" t="s">
        <v>457</v>
      </c>
      <c r="P1" s="28" t="s">
        <v>458</v>
      </c>
    </row>
    <row r="2">
      <c r="N2" s="41">
        <v>2559.6</v>
      </c>
      <c r="P2" s="1" t="s">
        <v>551</v>
      </c>
    </row>
    <row r="3">
      <c r="A3" s="1" t="s">
        <v>380</v>
      </c>
    </row>
    <row r="4">
      <c r="A4" s="44" t="s">
        <v>332</v>
      </c>
      <c r="B4" s="44" t="s">
        <v>333</v>
      </c>
      <c r="P4" s="13" t="s">
        <v>460</v>
      </c>
      <c r="Q4" s="41">
        <v>-504.4000000000001</v>
      </c>
    </row>
    <row r="5">
      <c r="A5" s="11" t="s">
        <v>552</v>
      </c>
      <c r="B5" s="31">
        <v>500.0</v>
      </c>
      <c r="P5" s="13" t="s">
        <v>462</v>
      </c>
      <c r="Q5" s="41">
        <v>1144.6</v>
      </c>
    </row>
    <row r="6">
      <c r="A6" s="11" t="s">
        <v>339</v>
      </c>
      <c r="B6" s="31">
        <v>470.0</v>
      </c>
      <c r="P6" s="13" t="s">
        <v>463</v>
      </c>
      <c r="Q6" s="41">
        <v>-10067.752000000002</v>
      </c>
    </row>
    <row r="7">
      <c r="A7" s="11" t="s">
        <v>341</v>
      </c>
      <c r="B7" s="31">
        <v>61.0</v>
      </c>
    </row>
    <row r="10">
      <c r="P10" s="43" t="s">
        <v>328</v>
      </c>
    </row>
    <row r="11">
      <c r="A11" s="1" t="s">
        <v>330</v>
      </c>
      <c r="P11" s="13" t="s">
        <v>329</v>
      </c>
      <c r="Q11" s="41">
        <v>3116.0</v>
      </c>
    </row>
    <row r="12">
      <c r="A12" s="44" t="s">
        <v>332</v>
      </c>
      <c r="B12" s="44" t="s">
        <v>333</v>
      </c>
      <c r="P12" s="13" t="s">
        <v>331</v>
      </c>
      <c r="Q12" s="41">
        <v>2718.0</v>
      </c>
    </row>
    <row r="13">
      <c r="A13" s="11" t="s">
        <v>553</v>
      </c>
      <c r="B13" s="31">
        <v>2827.0</v>
      </c>
      <c r="P13" s="13" t="s">
        <v>334</v>
      </c>
      <c r="Q13" s="41">
        <v>3041.0</v>
      </c>
    </row>
    <row r="14">
      <c r="A14" s="11" t="s">
        <v>339</v>
      </c>
      <c r="B14" s="31">
        <v>930.0</v>
      </c>
      <c r="P14" s="13" t="s">
        <v>336</v>
      </c>
      <c r="Q14" s="41">
        <v>2581.0</v>
      </c>
    </row>
    <row r="15">
      <c r="A15" s="11" t="s">
        <v>341</v>
      </c>
      <c r="B15" s="31">
        <v>83.0</v>
      </c>
      <c r="P15" s="13" t="s">
        <v>338</v>
      </c>
      <c r="Q15" s="41">
        <v>2864.0</v>
      </c>
    </row>
    <row r="16">
      <c r="P16" s="13" t="s">
        <v>340</v>
      </c>
      <c r="Q16" s="41">
        <v>3191.0</v>
      </c>
    </row>
    <row r="17">
      <c r="P17" s="13" t="s">
        <v>342</v>
      </c>
      <c r="Q17" s="41">
        <v>2996.0</v>
      </c>
    </row>
    <row r="18">
      <c r="P18" s="13" t="s">
        <v>343</v>
      </c>
      <c r="Q18" s="41">
        <v>1609.0</v>
      </c>
    </row>
    <row r="19">
      <c r="A19" s="28" t="s">
        <v>345</v>
      </c>
      <c r="P19" s="13" t="s">
        <v>464</v>
      </c>
      <c r="Q19" s="41">
        <v>511.0</v>
      </c>
    </row>
    <row r="21">
      <c r="A21" s="1" t="s">
        <v>347</v>
      </c>
    </row>
    <row r="22">
      <c r="A22" s="44" t="s">
        <v>332</v>
      </c>
      <c r="B22" s="44" t="s">
        <v>333</v>
      </c>
      <c r="P22" s="43" t="s">
        <v>346</v>
      </c>
    </row>
    <row r="23">
      <c r="A23" s="11" t="s">
        <v>554</v>
      </c>
      <c r="B23" s="31">
        <v>699.0</v>
      </c>
      <c r="P23" s="13" t="s">
        <v>348</v>
      </c>
      <c r="Q23" s="41">
        <v>5973.0</v>
      </c>
    </row>
    <row r="24">
      <c r="A24" s="11" t="s">
        <v>339</v>
      </c>
      <c r="B24" s="31">
        <v>639.0</v>
      </c>
      <c r="P24" s="13" t="s">
        <v>349</v>
      </c>
      <c r="Q24" s="41">
        <v>99.0</v>
      </c>
    </row>
    <row r="25">
      <c r="A25" s="11" t="s">
        <v>341</v>
      </c>
      <c r="B25" s="31">
        <v>62.0</v>
      </c>
      <c r="P25" s="13" t="s">
        <v>351</v>
      </c>
      <c r="Q25" s="41">
        <v>55.0</v>
      </c>
    </row>
    <row r="26">
      <c r="P26" s="13" t="s">
        <v>352</v>
      </c>
      <c r="Q26" s="41">
        <v>1.0</v>
      </c>
    </row>
    <row r="27">
      <c r="P27" s="13" t="s">
        <v>353</v>
      </c>
      <c r="Q27" s="41">
        <v>76.0</v>
      </c>
    </row>
    <row r="28">
      <c r="P28" s="13" t="s">
        <v>354</v>
      </c>
      <c r="Q28" s="41">
        <v>4807.0</v>
      </c>
    </row>
    <row r="29">
      <c r="A29" s="1" t="s">
        <v>357</v>
      </c>
      <c r="P29" s="13" t="s">
        <v>355</v>
      </c>
      <c r="Q29" s="41">
        <v>1764.0</v>
      </c>
    </row>
    <row r="30">
      <c r="A30" s="44" t="s">
        <v>332</v>
      </c>
      <c r="B30" s="44" t="s">
        <v>333</v>
      </c>
      <c r="P30" s="13" t="s">
        <v>356</v>
      </c>
      <c r="Q30" s="41">
        <v>102.0</v>
      </c>
    </row>
    <row r="31">
      <c r="A31" s="11" t="s">
        <v>553</v>
      </c>
      <c r="B31" s="31">
        <v>3448.0</v>
      </c>
      <c r="P31" s="13" t="s">
        <v>358</v>
      </c>
      <c r="Q31" s="41">
        <v>2.0</v>
      </c>
    </row>
    <row r="32">
      <c r="A32" s="11" t="s">
        <v>339</v>
      </c>
      <c r="B32" s="31">
        <v>1177.0</v>
      </c>
      <c r="P32" s="13" t="s">
        <v>359</v>
      </c>
      <c r="Q32" s="41">
        <v>603.0</v>
      </c>
    </row>
    <row r="33">
      <c r="A33" s="11" t="s">
        <v>341</v>
      </c>
      <c r="B33" s="31">
        <v>67.0</v>
      </c>
      <c r="P33" s="13" t="s">
        <v>360</v>
      </c>
      <c r="Q33" s="41">
        <v>111.0</v>
      </c>
    </row>
    <row r="34">
      <c r="P34" s="13" t="s">
        <v>361</v>
      </c>
      <c r="Q34" s="41">
        <v>1415.0</v>
      </c>
    </row>
    <row r="35">
      <c r="P35" s="13" t="s">
        <v>363</v>
      </c>
      <c r="Q35" s="41">
        <v>82.0</v>
      </c>
    </row>
    <row r="36">
      <c r="P36" s="13" t="s">
        <v>364</v>
      </c>
      <c r="Q36" s="41">
        <v>882.0</v>
      </c>
    </row>
    <row r="37">
      <c r="P37" s="13" t="s">
        <v>365</v>
      </c>
      <c r="Q37" s="41">
        <v>301.0</v>
      </c>
    </row>
    <row r="38">
      <c r="P38" s="13" t="s">
        <v>366</v>
      </c>
      <c r="Q38" s="41">
        <v>130.0</v>
      </c>
    </row>
    <row r="39">
      <c r="P39" s="13" t="s">
        <v>367</v>
      </c>
      <c r="Q39" s="41">
        <v>315.0</v>
      </c>
    </row>
    <row r="40">
      <c r="P40" s="13" t="s">
        <v>368</v>
      </c>
      <c r="Q40" s="41">
        <v>1979.0</v>
      </c>
    </row>
    <row r="41">
      <c r="P41" s="13" t="s">
        <v>369</v>
      </c>
      <c r="Q41" s="41">
        <v>378.0</v>
      </c>
    </row>
    <row r="42">
      <c r="P42" s="13" t="s">
        <v>370</v>
      </c>
      <c r="Q42" s="41">
        <v>6.0</v>
      </c>
    </row>
    <row r="45">
      <c r="P45" s="43" t="s">
        <v>372</v>
      </c>
    </row>
    <row r="46">
      <c r="P46" s="13" t="s">
        <v>373</v>
      </c>
      <c r="Q46" s="41">
        <v>0.23600000000000002</v>
      </c>
    </row>
    <row r="47">
      <c r="P47" s="13" t="s">
        <v>465</v>
      </c>
      <c r="Q47" s="41">
        <v>0.28800000000000003</v>
      </c>
    </row>
    <row r="48">
      <c r="P48" s="13" t="s">
        <v>466</v>
      </c>
      <c r="Q48" s="41">
        <v>0.21</v>
      </c>
    </row>
    <row r="49">
      <c r="P49" s="13" t="s">
        <v>467</v>
      </c>
      <c r="Q49" s="41">
        <v>0.129</v>
      </c>
    </row>
    <row r="50">
      <c r="P50" s="13" t="s">
        <v>377</v>
      </c>
      <c r="Q50" s="41">
        <v>0.139</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8.25"/>
  </cols>
  <sheetData>
    <row r="1">
      <c r="A1" s="28" t="s">
        <v>327</v>
      </c>
      <c r="N1" s="1" t="s">
        <v>457</v>
      </c>
      <c r="P1" s="28" t="s">
        <v>458</v>
      </c>
    </row>
    <row r="2">
      <c r="N2" s="41">
        <v>4460.7</v>
      </c>
      <c r="P2" s="1" t="s">
        <v>555</v>
      </c>
    </row>
    <row r="3">
      <c r="A3" s="1" t="s">
        <v>330</v>
      </c>
    </row>
    <row r="4">
      <c r="A4" s="44" t="s">
        <v>332</v>
      </c>
      <c r="B4" s="44" t="s">
        <v>333</v>
      </c>
      <c r="P4" s="13" t="s">
        <v>460</v>
      </c>
      <c r="Q4" s="41">
        <v>1958.6999999999998</v>
      </c>
    </row>
    <row r="5">
      <c r="A5" s="11" t="s">
        <v>556</v>
      </c>
      <c r="B5" s="31">
        <v>4436.0</v>
      </c>
      <c r="P5" s="13" t="s">
        <v>462</v>
      </c>
      <c r="Q5" s="41">
        <v>3773.7</v>
      </c>
    </row>
    <row r="6">
      <c r="A6" s="11" t="s">
        <v>339</v>
      </c>
      <c r="B6" s="31">
        <v>1717.0</v>
      </c>
      <c r="P6" s="13" t="s">
        <v>463</v>
      </c>
      <c r="Q6" s="41">
        <v>-3553.955999999999</v>
      </c>
    </row>
    <row r="7">
      <c r="A7" s="11" t="s">
        <v>341</v>
      </c>
      <c r="B7" s="31">
        <v>70.0</v>
      </c>
    </row>
    <row r="10">
      <c r="P10" s="43" t="s">
        <v>328</v>
      </c>
    </row>
    <row r="11">
      <c r="A11" s="28" t="s">
        <v>345</v>
      </c>
      <c r="P11" s="13" t="s">
        <v>329</v>
      </c>
      <c r="Q11" s="41">
        <v>2918.0</v>
      </c>
    </row>
    <row r="12">
      <c r="P12" s="13" t="s">
        <v>331</v>
      </c>
      <c r="Q12" s="41">
        <v>2546.0</v>
      </c>
    </row>
    <row r="13">
      <c r="A13" s="1" t="s">
        <v>347</v>
      </c>
      <c r="P13" s="13" t="s">
        <v>334</v>
      </c>
      <c r="Q13" s="41">
        <v>2288.0</v>
      </c>
    </row>
    <row r="14">
      <c r="A14" s="44" t="s">
        <v>332</v>
      </c>
      <c r="B14" s="44" t="s">
        <v>333</v>
      </c>
      <c r="P14" s="13" t="s">
        <v>336</v>
      </c>
      <c r="Q14" s="41">
        <v>2761.0</v>
      </c>
    </row>
    <row r="15">
      <c r="A15" s="11" t="s">
        <v>557</v>
      </c>
      <c r="B15" s="31">
        <v>1202.0</v>
      </c>
      <c r="P15" s="13" t="s">
        <v>338</v>
      </c>
      <c r="Q15" s="41">
        <v>3680.0</v>
      </c>
    </row>
    <row r="16">
      <c r="A16" s="11" t="s">
        <v>339</v>
      </c>
      <c r="B16" s="31">
        <v>630.0</v>
      </c>
      <c r="P16" s="13" t="s">
        <v>340</v>
      </c>
      <c r="Q16" s="41">
        <v>3664.0</v>
      </c>
    </row>
    <row r="17">
      <c r="A17" s="11" t="s">
        <v>341</v>
      </c>
      <c r="B17" s="31">
        <v>29.0</v>
      </c>
      <c r="P17" s="13" t="s">
        <v>342</v>
      </c>
      <c r="Q17" s="41">
        <v>3440.0</v>
      </c>
    </row>
    <row r="18">
      <c r="P18" s="13" t="s">
        <v>343</v>
      </c>
      <c r="Q18" s="41">
        <v>2406.0</v>
      </c>
    </row>
    <row r="19">
      <c r="P19" s="13" t="s">
        <v>464</v>
      </c>
      <c r="Q19" s="41">
        <v>1716.0</v>
      </c>
    </row>
    <row r="21">
      <c r="A21" s="1" t="s">
        <v>357</v>
      </c>
    </row>
    <row r="22">
      <c r="A22" s="44" t="s">
        <v>332</v>
      </c>
      <c r="B22" s="44" t="s">
        <v>333</v>
      </c>
      <c r="P22" s="43" t="s">
        <v>346</v>
      </c>
    </row>
    <row r="23">
      <c r="A23" s="11" t="s">
        <v>556</v>
      </c>
      <c r="B23" s="31">
        <v>5337.0</v>
      </c>
      <c r="P23" s="13" t="s">
        <v>348</v>
      </c>
      <c r="Q23" s="41">
        <v>5516.0</v>
      </c>
    </row>
    <row r="24">
      <c r="A24" s="11" t="s">
        <v>558</v>
      </c>
      <c r="B24" s="31">
        <v>2103.0</v>
      </c>
      <c r="P24" s="13" t="s">
        <v>349</v>
      </c>
      <c r="Q24" s="41">
        <v>195.0</v>
      </c>
    </row>
    <row r="25">
      <c r="A25" s="11" t="s">
        <v>339</v>
      </c>
      <c r="B25" s="31">
        <v>1142.0</v>
      </c>
      <c r="P25" s="13" t="s">
        <v>351</v>
      </c>
      <c r="Q25" s="41">
        <v>5.0</v>
      </c>
    </row>
    <row r="26">
      <c r="A26" s="11" t="s">
        <v>341</v>
      </c>
      <c r="B26" s="31">
        <v>64.0</v>
      </c>
      <c r="P26" s="13" t="s">
        <v>352</v>
      </c>
      <c r="Q26" s="41">
        <v>86.0</v>
      </c>
    </row>
    <row r="27">
      <c r="P27" s="13" t="s">
        <v>353</v>
      </c>
      <c r="Q27" s="41">
        <v>3223.0</v>
      </c>
    </row>
    <row r="28">
      <c r="P28" s="13" t="s">
        <v>354</v>
      </c>
      <c r="Q28" s="41">
        <v>409.0</v>
      </c>
    </row>
    <row r="29">
      <c r="P29" s="13" t="s">
        <v>355</v>
      </c>
      <c r="Q29" s="41">
        <v>6546.0</v>
      </c>
    </row>
    <row r="30">
      <c r="P30" s="13" t="s">
        <v>356</v>
      </c>
      <c r="Q30" s="41">
        <v>706.0</v>
      </c>
    </row>
    <row r="31">
      <c r="P31" s="13" t="s">
        <v>358</v>
      </c>
      <c r="Q31" s="41">
        <v>490.0</v>
      </c>
    </row>
    <row r="32">
      <c r="P32" s="13" t="s">
        <v>359</v>
      </c>
      <c r="Q32" s="41">
        <v>2063.0</v>
      </c>
    </row>
    <row r="33">
      <c r="P33" s="13" t="s">
        <v>360</v>
      </c>
      <c r="Q33" s="41">
        <v>24.0</v>
      </c>
    </row>
    <row r="34">
      <c r="P34" s="13" t="s">
        <v>361</v>
      </c>
      <c r="Q34" s="41">
        <v>687.0</v>
      </c>
    </row>
    <row r="35">
      <c r="P35" s="13" t="s">
        <v>363</v>
      </c>
      <c r="Q35" s="41">
        <v>26.0</v>
      </c>
    </row>
    <row r="36">
      <c r="P36" s="13" t="s">
        <v>364</v>
      </c>
      <c r="Q36" s="41">
        <v>288.0</v>
      </c>
    </row>
    <row r="37">
      <c r="P37" s="13" t="s">
        <v>365</v>
      </c>
      <c r="Q37" s="41">
        <v>92.0</v>
      </c>
    </row>
    <row r="38">
      <c r="P38" s="13" t="s">
        <v>366</v>
      </c>
      <c r="Q38" s="41">
        <v>71.0</v>
      </c>
    </row>
    <row r="39">
      <c r="P39" s="13" t="s">
        <v>367</v>
      </c>
      <c r="Q39" s="41">
        <v>97.0</v>
      </c>
    </row>
    <row r="40">
      <c r="P40" s="13" t="s">
        <v>368</v>
      </c>
      <c r="Q40" s="41">
        <v>2053.0</v>
      </c>
    </row>
    <row r="41">
      <c r="P41" s="13" t="s">
        <v>369</v>
      </c>
      <c r="Q41" s="41">
        <v>188.0</v>
      </c>
    </row>
    <row r="42">
      <c r="P42" s="13" t="s">
        <v>370</v>
      </c>
      <c r="Q42" s="41">
        <v>0.0</v>
      </c>
    </row>
    <row r="45">
      <c r="P45" s="43" t="s">
        <v>372</v>
      </c>
    </row>
    <row r="46">
      <c r="P46" s="13" t="s">
        <v>373</v>
      </c>
      <c r="Q46" s="41">
        <v>0.122</v>
      </c>
    </row>
    <row r="47">
      <c r="P47" s="13" t="s">
        <v>465</v>
      </c>
      <c r="Q47" s="41">
        <v>0.182</v>
      </c>
    </row>
    <row r="48">
      <c r="P48" s="13" t="s">
        <v>466</v>
      </c>
      <c r="Q48" s="41">
        <v>0.165</v>
      </c>
    </row>
    <row r="49">
      <c r="P49" s="13" t="s">
        <v>467</v>
      </c>
      <c r="Q49" s="41">
        <v>0.165</v>
      </c>
    </row>
    <row r="50">
      <c r="P50" s="13" t="s">
        <v>377</v>
      </c>
      <c r="Q50" s="41">
        <v>0.368</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5.13"/>
    <col customWidth="1" min="13" max="13" width="53.13"/>
    <col customWidth="1" min="14" max="14" width="8.25"/>
  </cols>
  <sheetData>
    <row r="1">
      <c r="A1" s="28" t="s">
        <v>327</v>
      </c>
      <c r="N1" s="1" t="s">
        <v>457</v>
      </c>
      <c r="P1" s="28" t="s">
        <v>458</v>
      </c>
    </row>
    <row r="2">
      <c r="N2" s="41">
        <v>3723.0</v>
      </c>
      <c r="P2" s="1" t="s">
        <v>559</v>
      </c>
    </row>
    <row r="3">
      <c r="A3" s="1" t="s">
        <v>380</v>
      </c>
    </row>
    <row r="4">
      <c r="A4" s="44" t="s">
        <v>332</v>
      </c>
      <c r="B4" s="44" t="s">
        <v>333</v>
      </c>
      <c r="P4" s="13" t="s">
        <v>460</v>
      </c>
      <c r="Q4" s="41">
        <v>300.0</v>
      </c>
    </row>
    <row r="5">
      <c r="A5" s="11" t="s">
        <v>560</v>
      </c>
      <c r="B5" s="31">
        <v>597.0</v>
      </c>
      <c r="P5" s="13" t="s">
        <v>462</v>
      </c>
      <c r="Q5" s="41">
        <v>2904.0</v>
      </c>
    </row>
    <row r="6">
      <c r="A6" s="11" t="s">
        <v>339</v>
      </c>
      <c r="B6" s="31">
        <v>311.0</v>
      </c>
      <c r="P6" s="13" t="s">
        <v>463</v>
      </c>
      <c r="Q6" s="41">
        <v>-7874.9439999999995</v>
      </c>
    </row>
    <row r="7">
      <c r="A7" s="11" t="s">
        <v>341</v>
      </c>
      <c r="B7" s="31">
        <v>67.0</v>
      </c>
    </row>
    <row r="10">
      <c r="P10" s="43" t="s">
        <v>328</v>
      </c>
    </row>
    <row r="11">
      <c r="A11" s="1" t="s">
        <v>330</v>
      </c>
      <c r="P11" s="13" t="s">
        <v>329</v>
      </c>
      <c r="Q11" s="41">
        <v>2363.0</v>
      </c>
    </row>
    <row r="12">
      <c r="A12" s="44" t="s">
        <v>332</v>
      </c>
      <c r="B12" s="44" t="s">
        <v>333</v>
      </c>
      <c r="P12" s="13" t="s">
        <v>331</v>
      </c>
      <c r="Q12" s="41">
        <v>2740.0</v>
      </c>
    </row>
    <row r="13">
      <c r="A13" s="11" t="s">
        <v>561</v>
      </c>
      <c r="B13" s="31">
        <v>2308.0</v>
      </c>
      <c r="P13" s="13" t="s">
        <v>334</v>
      </c>
      <c r="Q13" s="41">
        <v>3023.0</v>
      </c>
    </row>
    <row r="14">
      <c r="A14" s="11" t="s">
        <v>562</v>
      </c>
      <c r="B14" s="31">
        <v>1133.0</v>
      </c>
      <c r="P14" s="13" t="s">
        <v>336</v>
      </c>
      <c r="Q14" s="41">
        <v>3365.0</v>
      </c>
    </row>
    <row r="15">
      <c r="A15" s="11" t="s">
        <v>563</v>
      </c>
      <c r="B15" s="31">
        <v>1000.0</v>
      </c>
      <c r="P15" s="13" t="s">
        <v>338</v>
      </c>
      <c r="Q15" s="41">
        <v>3935.0</v>
      </c>
    </row>
    <row r="16">
      <c r="A16" s="11" t="s">
        <v>564</v>
      </c>
      <c r="B16" s="31">
        <v>436.0</v>
      </c>
      <c r="P16" s="13" t="s">
        <v>340</v>
      </c>
      <c r="Q16" s="41">
        <v>3508.0</v>
      </c>
    </row>
    <row r="17">
      <c r="A17" s="11" t="s">
        <v>565</v>
      </c>
      <c r="B17" s="31">
        <v>364.0</v>
      </c>
      <c r="P17" s="13" t="s">
        <v>342</v>
      </c>
      <c r="Q17" s="41">
        <v>3839.0</v>
      </c>
    </row>
    <row r="18">
      <c r="A18" s="11" t="s">
        <v>339</v>
      </c>
      <c r="B18" s="31">
        <v>366.0</v>
      </c>
      <c r="P18" s="13" t="s">
        <v>343</v>
      </c>
      <c r="Q18" s="41">
        <v>2329.0</v>
      </c>
    </row>
    <row r="19">
      <c r="A19" s="11" t="s">
        <v>341</v>
      </c>
      <c r="B19" s="31">
        <v>132.0</v>
      </c>
      <c r="P19" s="13" t="s">
        <v>464</v>
      </c>
      <c r="Q19" s="41">
        <v>1080.0</v>
      </c>
    </row>
    <row r="22">
      <c r="P22" s="43" t="s">
        <v>346</v>
      </c>
    </row>
    <row r="23">
      <c r="A23" s="28" t="s">
        <v>345</v>
      </c>
      <c r="P23" s="13" t="s">
        <v>348</v>
      </c>
      <c r="Q23" s="41">
        <v>5979.0</v>
      </c>
    </row>
    <row r="24">
      <c r="P24" s="13" t="s">
        <v>349</v>
      </c>
      <c r="Q24" s="41">
        <v>290.0</v>
      </c>
    </row>
    <row r="25">
      <c r="A25" s="1" t="s">
        <v>347</v>
      </c>
      <c r="P25" s="13" t="s">
        <v>351</v>
      </c>
      <c r="Q25" s="41">
        <v>67.0</v>
      </c>
    </row>
    <row r="26">
      <c r="A26" s="44" t="s">
        <v>332</v>
      </c>
      <c r="B26" s="44" t="s">
        <v>333</v>
      </c>
      <c r="P26" s="13" t="s">
        <v>352</v>
      </c>
      <c r="Q26" s="41">
        <v>50.0</v>
      </c>
    </row>
    <row r="27">
      <c r="A27" s="11" t="s">
        <v>566</v>
      </c>
      <c r="B27" s="31">
        <v>492.0</v>
      </c>
      <c r="P27" s="13" t="s">
        <v>353</v>
      </c>
      <c r="Q27" s="41">
        <v>3605.0</v>
      </c>
    </row>
    <row r="28">
      <c r="A28" s="11" t="s">
        <v>567</v>
      </c>
      <c r="B28" s="31">
        <v>405.0</v>
      </c>
      <c r="P28" s="13" t="s">
        <v>354</v>
      </c>
      <c r="Q28" s="41">
        <v>1177.0</v>
      </c>
    </row>
    <row r="29">
      <c r="A29" s="11" t="s">
        <v>339</v>
      </c>
      <c r="B29" s="31">
        <v>419.0</v>
      </c>
      <c r="P29" s="13" t="s">
        <v>355</v>
      </c>
      <c r="Q29" s="41">
        <v>6854.0</v>
      </c>
    </row>
    <row r="30">
      <c r="A30" s="11" t="s">
        <v>341</v>
      </c>
      <c r="B30" s="31">
        <v>51.0</v>
      </c>
      <c r="P30" s="13" t="s">
        <v>356</v>
      </c>
      <c r="Q30" s="41">
        <v>551.0</v>
      </c>
    </row>
    <row r="31">
      <c r="P31" s="13" t="s">
        <v>358</v>
      </c>
      <c r="Q31" s="41">
        <v>382.0</v>
      </c>
    </row>
    <row r="32">
      <c r="P32" s="13" t="s">
        <v>359</v>
      </c>
      <c r="Q32" s="41">
        <v>1862.0</v>
      </c>
    </row>
    <row r="33">
      <c r="P33" s="13" t="s">
        <v>360</v>
      </c>
      <c r="Q33" s="41">
        <v>5.0</v>
      </c>
    </row>
    <row r="34">
      <c r="A34" s="1" t="s">
        <v>357</v>
      </c>
      <c r="P34" s="13" t="s">
        <v>361</v>
      </c>
      <c r="Q34" s="41">
        <v>819.0</v>
      </c>
    </row>
    <row r="35">
      <c r="A35" s="44" t="s">
        <v>332</v>
      </c>
      <c r="B35" s="44" t="s">
        <v>333</v>
      </c>
      <c r="P35" s="13" t="s">
        <v>363</v>
      </c>
      <c r="Q35" s="41">
        <v>158.0</v>
      </c>
    </row>
    <row r="36">
      <c r="A36" s="11" t="s">
        <v>568</v>
      </c>
      <c r="B36" s="31">
        <v>4742.0</v>
      </c>
      <c r="P36" s="13" t="s">
        <v>364</v>
      </c>
      <c r="Q36" s="41">
        <v>305.0</v>
      </c>
    </row>
    <row r="37">
      <c r="A37" s="11" t="s">
        <v>564</v>
      </c>
      <c r="B37" s="31">
        <v>1022.0</v>
      </c>
      <c r="P37" s="13" t="s">
        <v>365</v>
      </c>
      <c r="Q37" s="41">
        <v>181.0</v>
      </c>
    </row>
    <row r="38">
      <c r="A38" s="11" t="s">
        <v>339</v>
      </c>
      <c r="B38" s="31">
        <v>830.0</v>
      </c>
      <c r="P38" s="13" t="s">
        <v>366</v>
      </c>
      <c r="Q38" s="41">
        <v>61.0</v>
      </c>
    </row>
    <row r="39">
      <c r="A39" s="11" t="s">
        <v>341</v>
      </c>
      <c r="B39" s="31">
        <v>77.0</v>
      </c>
      <c r="P39" s="13" t="s">
        <v>367</v>
      </c>
      <c r="Q39" s="41">
        <v>67.0</v>
      </c>
    </row>
    <row r="40">
      <c r="P40" s="13" t="s">
        <v>368</v>
      </c>
      <c r="Q40" s="41">
        <v>1725.0</v>
      </c>
    </row>
    <row r="41">
      <c r="P41" s="13" t="s">
        <v>369</v>
      </c>
      <c r="Q41" s="41">
        <v>362.0</v>
      </c>
    </row>
    <row r="42">
      <c r="P42" s="13" t="s">
        <v>370</v>
      </c>
      <c r="Q42" s="41">
        <v>0.0</v>
      </c>
    </row>
    <row r="45">
      <c r="P45" s="43" t="s">
        <v>372</v>
      </c>
    </row>
    <row r="46">
      <c r="P46" s="13" t="s">
        <v>373</v>
      </c>
      <c r="Q46" s="41">
        <v>0.209</v>
      </c>
    </row>
    <row r="47">
      <c r="P47" s="13" t="s">
        <v>465</v>
      </c>
      <c r="Q47" s="41">
        <v>0.219</v>
      </c>
    </row>
    <row r="48">
      <c r="P48" s="13" t="s">
        <v>466</v>
      </c>
      <c r="Q48" s="41">
        <v>0.188</v>
      </c>
    </row>
    <row r="49">
      <c r="P49" s="13" t="s">
        <v>467</v>
      </c>
      <c r="Q49" s="41">
        <v>0.131</v>
      </c>
    </row>
    <row r="50">
      <c r="P50" s="13" t="s">
        <v>377</v>
      </c>
      <c r="Q50" s="41">
        <v>0.254</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8.25"/>
  </cols>
  <sheetData>
    <row r="1">
      <c r="A1" s="28" t="s">
        <v>327</v>
      </c>
      <c r="N1" s="1" t="s">
        <v>457</v>
      </c>
      <c r="P1" s="28" t="s">
        <v>458</v>
      </c>
    </row>
    <row r="2">
      <c r="N2" s="41">
        <v>3474.9</v>
      </c>
      <c r="P2" s="1" t="s">
        <v>569</v>
      </c>
    </row>
    <row r="3">
      <c r="A3" s="1" t="s">
        <v>380</v>
      </c>
    </row>
    <row r="4">
      <c r="A4" s="44" t="s">
        <v>332</v>
      </c>
      <c r="B4" s="44" t="s">
        <v>333</v>
      </c>
      <c r="P4" s="13" t="s">
        <v>460</v>
      </c>
      <c r="Q4" s="41">
        <v>-637.0999999999999</v>
      </c>
    </row>
    <row r="5">
      <c r="A5" s="11" t="s">
        <v>570</v>
      </c>
      <c r="B5" s="31">
        <v>584.0</v>
      </c>
      <c r="P5" s="13" t="s">
        <v>462</v>
      </c>
      <c r="Q5" s="41">
        <v>2345.9</v>
      </c>
    </row>
    <row r="6">
      <c r="A6" s="11" t="s">
        <v>339</v>
      </c>
      <c r="B6" s="31">
        <v>303.0</v>
      </c>
      <c r="P6" s="13" t="s">
        <v>463</v>
      </c>
      <c r="Q6" s="41">
        <v>-7656.906000000001</v>
      </c>
    </row>
    <row r="7">
      <c r="A7" s="11" t="s">
        <v>341</v>
      </c>
      <c r="B7" s="31">
        <v>53.0</v>
      </c>
    </row>
    <row r="10">
      <c r="P10" s="43" t="s">
        <v>328</v>
      </c>
    </row>
    <row r="11">
      <c r="A11" s="1" t="s">
        <v>330</v>
      </c>
      <c r="P11" s="13" t="s">
        <v>329</v>
      </c>
      <c r="Q11" s="41">
        <v>2024.0</v>
      </c>
    </row>
    <row r="12">
      <c r="A12" s="44" t="s">
        <v>332</v>
      </c>
      <c r="B12" s="44" t="s">
        <v>333</v>
      </c>
      <c r="P12" s="13" t="s">
        <v>331</v>
      </c>
      <c r="Q12" s="41">
        <v>3026.0</v>
      </c>
    </row>
    <row r="13">
      <c r="A13" s="11" t="s">
        <v>571</v>
      </c>
      <c r="B13" s="31">
        <v>3972.0</v>
      </c>
      <c r="P13" s="13" t="s">
        <v>334</v>
      </c>
      <c r="Q13" s="41">
        <v>3484.0</v>
      </c>
    </row>
    <row r="14">
      <c r="A14" s="11" t="s">
        <v>339</v>
      </c>
      <c r="B14" s="31">
        <v>978.0</v>
      </c>
      <c r="P14" s="13" t="s">
        <v>336</v>
      </c>
      <c r="Q14" s="41">
        <v>3344.0</v>
      </c>
    </row>
    <row r="15">
      <c r="A15" s="11" t="s">
        <v>341</v>
      </c>
      <c r="B15" s="31">
        <v>61.0</v>
      </c>
      <c r="P15" s="13" t="s">
        <v>338</v>
      </c>
      <c r="Q15" s="41">
        <v>3522.0</v>
      </c>
    </row>
    <row r="16">
      <c r="P16" s="13" t="s">
        <v>340</v>
      </c>
      <c r="Q16" s="41">
        <v>3411.0</v>
      </c>
    </row>
    <row r="17">
      <c r="P17" s="13" t="s">
        <v>342</v>
      </c>
      <c r="Q17" s="41">
        <v>3630.0</v>
      </c>
    </row>
    <row r="18">
      <c r="P18" s="13" t="s">
        <v>343</v>
      </c>
      <c r="Q18" s="41">
        <v>1794.0</v>
      </c>
    </row>
    <row r="19">
      <c r="A19" s="28" t="s">
        <v>345</v>
      </c>
      <c r="P19" s="13" t="s">
        <v>464</v>
      </c>
      <c r="Q19" s="41">
        <v>971.0</v>
      </c>
    </row>
    <row r="21">
      <c r="A21" s="1" t="s">
        <v>347</v>
      </c>
    </row>
    <row r="22">
      <c r="A22" s="44" t="s">
        <v>332</v>
      </c>
      <c r="B22" s="44" t="s">
        <v>333</v>
      </c>
      <c r="P22" s="43" t="s">
        <v>346</v>
      </c>
    </row>
    <row r="23">
      <c r="A23" s="11" t="s">
        <v>572</v>
      </c>
      <c r="B23" s="31">
        <v>611.0</v>
      </c>
      <c r="P23" s="13" t="s">
        <v>348</v>
      </c>
      <c r="Q23" s="41">
        <v>5154.0</v>
      </c>
    </row>
    <row r="24">
      <c r="A24" s="11" t="s">
        <v>570</v>
      </c>
      <c r="B24" s="31">
        <v>469.0</v>
      </c>
      <c r="P24" s="13" t="s">
        <v>349</v>
      </c>
      <c r="Q24" s="41">
        <v>124.0</v>
      </c>
    </row>
    <row r="25">
      <c r="A25" s="11" t="s">
        <v>339</v>
      </c>
      <c r="B25" s="31">
        <v>214.0</v>
      </c>
      <c r="P25" s="13" t="s">
        <v>351</v>
      </c>
      <c r="Q25" s="41">
        <v>12.0</v>
      </c>
    </row>
    <row r="26">
      <c r="A26" s="11" t="s">
        <v>341</v>
      </c>
      <c r="B26" s="31">
        <v>54.0</v>
      </c>
      <c r="P26" s="13" t="s">
        <v>352</v>
      </c>
      <c r="Q26" s="41">
        <v>0.0</v>
      </c>
    </row>
    <row r="27">
      <c r="P27" s="13" t="s">
        <v>353</v>
      </c>
      <c r="Q27" s="41">
        <v>2899.0</v>
      </c>
    </row>
    <row r="28">
      <c r="P28" s="13" t="s">
        <v>354</v>
      </c>
      <c r="Q28" s="41">
        <v>1123.0</v>
      </c>
    </row>
    <row r="29">
      <c r="P29" s="13" t="s">
        <v>355</v>
      </c>
      <c r="Q29" s="41">
        <v>6628.0</v>
      </c>
    </row>
    <row r="30">
      <c r="A30" s="1" t="s">
        <v>357</v>
      </c>
      <c r="P30" s="13" t="s">
        <v>356</v>
      </c>
      <c r="Q30" s="41">
        <v>232.0</v>
      </c>
    </row>
    <row r="31">
      <c r="A31" s="44" t="s">
        <v>332</v>
      </c>
      <c r="B31" s="44" t="s">
        <v>333</v>
      </c>
      <c r="P31" s="13" t="s">
        <v>358</v>
      </c>
      <c r="Q31" s="41">
        <v>493.0</v>
      </c>
    </row>
    <row r="32">
      <c r="A32" s="11" t="s">
        <v>571</v>
      </c>
      <c r="B32" s="31">
        <v>5271.0</v>
      </c>
      <c r="P32" s="13" t="s">
        <v>359</v>
      </c>
      <c r="Q32" s="41">
        <v>1553.0</v>
      </c>
    </row>
    <row r="33">
      <c r="A33" s="11" t="s">
        <v>339</v>
      </c>
      <c r="B33" s="31">
        <v>1247.0</v>
      </c>
      <c r="P33" s="13" t="s">
        <v>360</v>
      </c>
      <c r="Q33" s="41">
        <v>65.0</v>
      </c>
    </row>
    <row r="34">
      <c r="A34" s="11" t="s">
        <v>341</v>
      </c>
      <c r="B34" s="31">
        <v>54.0</v>
      </c>
      <c r="P34" s="13" t="s">
        <v>361</v>
      </c>
      <c r="Q34" s="41">
        <v>1129.0</v>
      </c>
    </row>
    <row r="35">
      <c r="P35" s="13" t="s">
        <v>363</v>
      </c>
      <c r="Q35" s="41">
        <v>192.0</v>
      </c>
    </row>
    <row r="36">
      <c r="P36" s="13" t="s">
        <v>364</v>
      </c>
      <c r="Q36" s="41">
        <v>1045.0</v>
      </c>
    </row>
    <row r="37">
      <c r="P37" s="13" t="s">
        <v>365</v>
      </c>
      <c r="Q37" s="41">
        <v>336.0</v>
      </c>
    </row>
    <row r="38">
      <c r="P38" s="13" t="s">
        <v>366</v>
      </c>
      <c r="Q38" s="41">
        <v>44.0</v>
      </c>
    </row>
    <row r="39">
      <c r="P39" s="13" t="s">
        <v>367</v>
      </c>
      <c r="Q39" s="41">
        <v>56.0</v>
      </c>
    </row>
    <row r="40">
      <c r="P40" s="13" t="s">
        <v>368</v>
      </c>
      <c r="Q40" s="41">
        <v>1591.0</v>
      </c>
    </row>
    <row r="41">
      <c r="P41" s="13" t="s">
        <v>369</v>
      </c>
      <c r="Q41" s="41">
        <v>184.0</v>
      </c>
    </row>
    <row r="42">
      <c r="P42" s="13" t="s">
        <v>370</v>
      </c>
      <c r="Q42" s="41">
        <v>0.0</v>
      </c>
    </row>
    <row r="45">
      <c r="P45" s="43" t="s">
        <v>372</v>
      </c>
    </row>
    <row r="46">
      <c r="P46" s="13" t="s">
        <v>373</v>
      </c>
      <c r="Q46" s="41">
        <v>0.199</v>
      </c>
    </row>
    <row r="47">
      <c r="P47" s="13" t="s">
        <v>465</v>
      </c>
      <c r="Q47" s="41">
        <v>0.227</v>
      </c>
    </row>
    <row r="48">
      <c r="P48" s="13" t="s">
        <v>466</v>
      </c>
      <c r="Q48" s="41">
        <v>0.177</v>
      </c>
    </row>
    <row r="49">
      <c r="P49" s="13" t="s">
        <v>467</v>
      </c>
      <c r="Q49" s="41">
        <v>0.154</v>
      </c>
    </row>
    <row r="50">
      <c r="P50" s="13" t="s">
        <v>377</v>
      </c>
      <c r="Q50" s="41">
        <v>0.242</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8.25"/>
  </cols>
  <sheetData>
    <row r="1">
      <c r="A1" s="28" t="s">
        <v>327</v>
      </c>
      <c r="N1" s="1" t="s">
        <v>457</v>
      </c>
      <c r="P1" s="28" t="s">
        <v>458</v>
      </c>
    </row>
    <row r="2">
      <c r="N2" s="41">
        <v>3815.7</v>
      </c>
      <c r="P2" s="1" t="s">
        <v>573</v>
      </c>
    </row>
    <row r="3">
      <c r="A3" s="1" t="s">
        <v>380</v>
      </c>
    </row>
    <row r="4">
      <c r="A4" s="44" t="s">
        <v>332</v>
      </c>
      <c r="B4" s="44" t="s">
        <v>333</v>
      </c>
      <c r="P4" s="13" t="s">
        <v>460</v>
      </c>
      <c r="Q4" s="41">
        <v>-1024.3000000000002</v>
      </c>
    </row>
    <row r="5">
      <c r="A5" s="11" t="s">
        <v>574</v>
      </c>
      <c r="B5" s="31">
        <v>511.0</v>
      </c>
      <c r="P5" s="13" t="s">
        <v>462</v>
      </c>
      <c r="Q5" s="41">
        <v>3472.7</v>
      </c>
    </row>
    <row r="6">
      <c r="A6" s="11" t="s">
        <v>339</v>
      </c>
      <c r="B6" s="31">
        <v>322.0</v>
      </c>
      <c r="P6" s="13" t="s">
        <v>463</v>
      </c>
      <c r="Q6" s="41">
        <v>-9349.984</v>
      </c>
    </row>
    <row r="7">
      <c r="A7" s="11" t="s">
        <v>341</v>
      </c>
      <c r="B7" s="31">
        <v>47.0</v>
      </c>
    </row>
    <row r="10">
      <c r="P10" s="43" t="s">
        <v>328</v>
      </c>
    </row>
    <row r="11">
      <c r="A11" s="1" t="s">
        <v>330</v>
      </c>
      <c r="P11" s="13" t="s">
        <v>329</v>
      </c>
      <c r="Q11" s="41">
        <v>2306.0</v>
      </c>
    </row>
    <row r="12">
      <c r="A12" s="44" t="s">
        <v>332</v>
      </c>
      <c r="B12" s="44" t="s">
        <v>333</v>
      </c>
      <c r="P12" s="13" t="s">
        <v>331</v>
      </c>
      <c r="Q12" s="41">
        <v>4408.0</v>
      </c>
    </row>
    <row r="13">
      <c r="A13" s="11" t="s">
        <v>575</v>
      </c>
      <c r="B13" s="31">
        <v>4114.0</v>
      </c>
      <c r="P13" s="13" t="s">
        <v>334</v>
      </c>
      <c r="Q13" s="41">
        <v>3376.0</v>
      </c>
    </row>
    <row r="14">
      <c r="A14" s="11" t="s">
        <v>339</v>
      </c>
      <c r="B14" s="31">
        <v>1289.0</v>
      </c>
      <c r="P14" s="13" t="s">
        <v>336</v>
      </c>
      <c r="Q14" s="41">
        <v>3564.0</v>
      </c>
    </row>
    <row r="15">
      <c r="A15" s="11" t="s">
        <v>341</v>
      </c>
      <c r="B15" s="31">
        <v>34.0</v>
      </c>
      <c r="P15" s="13" t="s">
        <v>338</v>
      </c>
      <c r="Q15" s="41">
        <v>3314.0</v>
      </c>
    </row>
    <row r="16">
      <c r="P16" s="13" t="s">
        <v>340</v>
      </c>
      <c r="Q16" s="41">
        <v>3244.0</v>
      </c>
    </row>
    <row r="17">
      <c r="P17" s="13" t="s">
        <v>342</v>
      </c>
      <c r="Q17" s="41">
        <v>3307.0</v>
      </c>
    </row>
    <row r="18">
      <c r="P18" s="13" t="s">
        <v>343</v>
      </c>
      <c r="Q18" s="41">
        <v>1785.0</v>
      </c>
    </row>
    <row r="19">
      <c r="A19" s="28" t="s">
        <v>345</v>
      </c>
      <c r="P19" s="13" t="s">
        <v>464</v>
      </c>
      <c r="Q19" s="41">
        <v>1291.0</v>
      </c>
    </row>
    <row r="21">
      <c r="A21" s="1" t="s">
        <v>347</v>
      </c>
    </row>
    <row r="22">
      <c r="A22" s="44" t="s">
        <v>332</v>
      </c>
      <c r="B22" s="44" t="s">
        <v>333</v>
      </c>
      <c r="P22" s="43" t="s">
        <v>346</v>
      </c>
    </row>
    <row r="23">
      <c r="A23" s="11" t="s">
        <v>574</v>
      </c>
      <c r="B23" s="31">
        <v>641.0</v>
      </c>
      <c r="P23" s="13" t="s">
        <v>348</v>
      </c>
      <c r="Q23" s="41">
        <v>6342.0</v>
      </c>
    </row>
    <row r="24">
      <c r="A24" s="11" t="s">
        <v>339</v>
      </c>
      <c r="B24" s="31">
        <v>362.0</v>
      </c>
      <c r="P24" s="13" t="s">
        <v>349</v>
      </c>
      <c r="Q24" s="41">
        <v>399.0</v>
      </c>
    </row>
    <row r="25">
      <c r="A25" s="11" t="s">
        <v>341</v>
      </c>
      <c r="B25" s="31">
        <v>32.0</v>
      </c>
      <c r="P25" s="13" t="s">
        <v>351</v>
      </c>
      <c r="Q25" s="41">
        <v>78.0</v>
      </c>
    </row>
    <row r="26">
      <c r="P26" s="13" t="s">
        <v>352</v>
      </c>
      <c r="Q26" s="41">
        <v>369.0</v>
      </c>
    </row>
    <row r="27">
      <c r="P27" s="13" t="s">
        <v>353</v>
      </c>
      <c r="Q27" s="41">
        <v>2223.0</v>
      </c>
    </row>
    <row r="28">
      <c r="P28" s="13" t="s">
        <v>354</v>
      </c>
      <c r="Q28" s="41">
        <v>750.0</v>
      </c>
    </row>
    <row r="29">
      <c r="A29" s="1" t="s">
        <v>357</v>
      </c>
      <c r="P29" s="13" t="s">
        <v>355</v>
      </c>
      <c r="Q29" s="41">
        <v>6931.0</v>
      </c>
    </row>
    <row r="30">
      <c r="A30" s="44" t="s">
        <v>332</v>
      </c>
      <c r="B30" s="44" t="s">
        <v>333</v>
      </c>
      <c r="P30" s="13" t="s">
        <v>356</v>
      </c>
      <c r="Q30" s="41">
        <v>843.0</v>
      </c>
    </row>
    <row r="31">
      <c r="A31" s="11" t="s">
        <v>575</v>
      </c>
      <c r="B31" s="31">
        <v>3781.0</v>
      </c>
      <c r="P31" s="13" t="s">
        <v>358</v>
      </c>
      <c r="Q31" s="41">
        <v>255.0</v>
      </c>
    </row>
    <row r="32">
      <c r="A32" s="11" t="s">
        <v>576</v>
      </c>
      <c r="B32" s="31">
        <v>2804.0</v>
      </c>
      <c r="P32" s="13" t="s">
        <v>359</v>
      </c>
      <c r="Q32" s="41">
        <v>1973.0</v>
      </c>
    </row>
    <row r="33">
      <c r="A33" s="11" t="s">
        <v>339</v>
      </c>
      <c r="B33" s="31">
        <v>642.0</v>
      </c>
      <c r="P33" s="13" t="s">
        <v>360</v>
      </c>
      <c r="Q33" s="41">
        <v>20.0</v>
      </c>
    </row>
    <row r="34">
      <c r="A34" s="11" t="s">
        <v>341</v>
      </c>
      <c r="B34" s="31">
        <v>55.0</v>
      </c>
      <c r="P34" s="13" t="s">
        <v>361</v>
      </c>
      <c r="Q34" s="41">
        <v>343.0</v>
      </c>
    </row>
    <row r="35">
      <c r="P35" s="13" t="s">
        <v>363</v>
      </c>
      <c r="Q35" s="41">
        <v>294.0</v>
      </c>
    </row>
    <row r="36">
      <c r="P36" s="13" t="s">
        <v>364</v>
      </c>
      <c r="Q36" s="41">
        <v>607.0</v>
      </c>
    </row>
    <row r="37">
      <c r="P37" s="13" t="s">
        <v>365</v>
      </c>
      <c r="Q37" s="41">
        <v>344.0</v>
      </c>
    </row>
    <row r="38">
      <c r="P38" s="13" t="s">
        <v>366</v>
      </c>
      <c r="Q38" s="41">
        <v>72.0</v>
      </c>
    </row>
    <row r="39">
      <c r="P39" s="13" t="s">
        <v>367</v>
      </c>
      <c r="Q39" s="41">
        <v>75.0</v>
      </c>
    </row>
    <row r="40">
      <c r="P40" s="13" t="s">
        <v>368</v>
      </c>
      <c r="Q40" s="41">
        <v>2365.0</v>
      </c>
    </row>
    <row r="41">
      <c r="P41" s="13" t="s">
        <v>369</v>
      </c>
      <c r="Q41" s="41">
        <v>257.0</v>
      </c>
    </row>
    <row r="42">
      <c r="P42" s="13" t="s">
        <v>370</v>
      </c>
      <c r="Q42" s="41">
        <v>50.0</v>
      </c>
    </row>
    <row r="45">
      <c r="P45" s="43" t="s">
        <v>372</v>
      </c>
    </row>
    <row r="46">
      <c r="P46" s="13" t="s">
        <v>373</v>
      </c>
      <c r="Q46" s="41">
        <v>0.209</v>
      </c>
    </row>
    <row r="47">
      <c r="P47" s="13" t="s">
        <v>465</v>
      </c>
      <c r="Q47" s="41">
        <v>0.267</v>
      </c>
    </row>
    <row r="48">
      <c r="P48" s="13" t="s">
        <v>466</v>
      </c>
      <c r="Q48" s="41">
        <v>0.154</v>
      </c>
    </row>
    <row r="49">
      <c r="P49" s="13" t="s">
        <v>467</v>
      </c>
      <c r="Q49" s="41">
        <v>0.098</v>
      </c>
    </row>
    <row r="50">
      <c r="P50" s="13" t="s">
        <v>377</v>
      </c>
      <c r="Q50" s="41">
        <v>0.271</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 customWidth="1" min="16" max="16" width="28.5"/>
  </cols>
  <sheetData>
    <row r="1">
      <c r="A1" s="28" t="s">
        <v>327</v>
      </c>
      <c r="N1" s="1" t="s">
        <v>457</v>
      </c>
      <c r="P1" s="28" t="s">
        <v>458</v>
      </c>
    </row>
    <row r="2">
      <c r="N2" s="41">
        <v>2393.4</v>
      </c>
      <c r="P2" s="1" t="s">
        <v>577</v>
      </c>
    </row>
    <row r="3">
      <c r="A3" s="1" t="s">
        <v>330</v>
      </c>
    </row>
    <row r="4">
      <c r="A4" s="44" t="s">
        <v>332</v>
      </c>
      <c r="B4" s="44" t="s">
        <v>333</v>
      </c>
      <c r="P4" s="13" t="s">
        <v>460</v>
      </c>
      <c r="Q4" s="41">
        <v>-1189.6</v>
      </c>
    </row>
    <row r="5">
      <c r="A5" s="11" t="s">
        <v>578</v>
      </c>
      <c r="B5" s="31">
        <v>1518.0</v>
      </c>
      <c r="P5" s="13" t="s">
        <v>462</v>
      </c>
      <c r="Q5" s="41">
        <v>1559.4</v>
      </c>
    </row>
    <row r="6">
      <c r="A6" s="11" t="s">
        <v>412</v>
      </c>
      <c r="B6" s="31">
        <v>1166.0</v>
      </c>
      <c r="P6" s="13" t="s">
        <v>463</v>
      </c>
      <c r="Q6" s="41">
        <v>-17567.748</v>
      </c>
    </row>
    <row r="7">
      <c r="A7" s="11" t="s">
        <v>579</v>
      </c>
      <c r="B7" s="31">
        <v>391.0</v>
      </c>
    </row>
    <row r="8">
      <c r="A8" s="11" t="s">
        <v>580</v>
      </c>
      <c r="B8" s="31">
        <v>57.0</v>
      </c>
    </row>
    <row r="9">
      <c r="A9" s="11" t="s">
        <v>339</v>
      </c>
      <c r="B9" s="31">
        <v>478.0</v>
      </c>
    </row>
    <row r="10">
      <c r="A10" s="11" t="s">
        <v>341</v>
      </c>
      <c r="B10" s="31">
        <v>121.0</v>
      </c>
      <c r="P10" s="43" t="s">
        <v>328</v>
      </c>
    </row>
    <row r="11">
      <c r="P11" s="13" t="s">
        <v>329</v>
      </c>
      <c r="Q11" s="41">
        <v>1723.0</v>
      </c>
    </row>
    <row r="12">
      <c r="P12" s="13" t="s">
        <v>331</v>
      </c>
      <c r="Q12" s="41">
        <v>2553.0</v>
      </c>
    </row>
    <row r="13">
      <c r="P13" s="13" t="s">
        <v>334</v>
      </c>
      <c r="Q13" s="41">
        <v>5093.0</v>
      </c>
    </row>
    <row r="14">
      <c r="A14" s="28" t="s">
        <v>345</v>
      </c>
      <c r="P14" s="13" t="s">
        <v>336</v>
      </c>
      <c r="Q14" s="41">
        <v>3804.0</v>
      </c>
    </row>
    <row r="15">
      <c r="P15" s="13" t="s">
        <v>338</v>
      </c>
      <c r="Q15" s="41">
        <v>3721.0</v>
      </c>
    </row>
    <row r="16">
      <c r="A16" s="1" t="s">
        <v>357</v>
      </c>
      <c r="P16" s="13" t="s">
        <v>340</v>
      </c>
      <c r="Q16" s="41">
        <v>3729.0</v>
      </c>
    </row>
    <row r="17">
      <c r="A17" s="44" t="s">
        <v>332</v>
      </c>
      <c r="B17" s="44" t="s">
        <v>333</v>
      </c>
      <c r="P17" s="13" t="s">
        <v>342</v>
      </c>
      <c r="Q17" s="41">
        <v>3484.0</v>
      </c>
    </row>
    <row r="18">
      <c r="A18" s="11" t="s">
        <v>581</v>
      </c>
      <c r="B18" s="31">
        <v>3254.0</v>
      </c>
      <c r="P18" s="13" t="s">
        <v>343</v>
      </c>
      <c r="Q18" s="41">
        <v>1532.0</v>
      </c>
    </row>
    <row r="19">
      <c r="A19" s="11" t="s">
        <v>339</v>
      </c>
      <c r="B19" s="31">
        <v>929.0</v>
      </c>
      <c r="P19" s="13" t="s">
        <v>464</v>
      </c>
      <c r="Q19" s="41">
        <v>1309.0</v>
      </c>
    </row>
    <row r="20">
      <c r="A20" s="11" t="s">
        <v>341</v>
      </c>
      <c r="B20" s="31">
        <v>64.0</v>
      </c>
    </row>
    <row r="22">
      <c r="P22" s="43" t="s">
        <v>346</v>
      </c>
    </row>
    <row r="23">
      <c r="P23" s="13" t="s">
        <v>348</v>
      </c>
      <c r="Q23" s="41">
        <v>3337.0</v>
      </c>
    </row>
    <row r="24">
      <c r="P24" s="13" t="s">
        <v>349</v>
      </c>
      <c r="Q24" s="41">
        <v>446.0</v>
      </c>
    </row>
    <row r="25">
      <c r="P25" s="13" t="s">
        <v>351</v>
      </c>
      <c r="Q25" s="41">
        <v>19.0</v>
      </c>
    </row>
    <row r="26">
      <c r="P26" s="13" t="s">
        <v>352</v>
      </c>
      <c r="Q26" s="41">
        <v>137.0</v>
      </c>
    </row>
    <row r="27">
      <c r="P27" s="13" t="s">
        <v>353</v>
      </c>
      <c r="Q27" s="41">
        <v>3356.0</v>
      </c>
    </row>
    <row r="28">
      <c r="P28" s="13" t="s">
        <v>354</v>
      </c>
      <c r="Q28" s="41">
        <v>1897.0</v>
      </c>
    </row>
    <row r="29">
      <c r="P29" s="13" t="s">
        <v>355</v>
      </c>
      <c r="Q29" s="41">
        <v>5742.0</v>
      </c>
    </row>
    <row r="30">
      <c r="P30" s="13" t="s">
        <v>356</v>
      </c>
      <c r="Q30" s="41">
        <v>1408.0</v>
      </c>
    </row>
    <row r="31">
      <c r="P31" s="13" t="s">
        <v>358</v>
      </c>
      <c r="Q31" s="41">
        <v>1779.0</v>
      </c>
    </row>
    <row r="32">
      <c r="P32" s="13" t="s">
        <v>359</v>
      </c>
      <c r="Q32" s="41">
        <v>1641.0</v>
      </c>
    </row>
    <row r="33">
      <c r="P33" s="13" t="s">
        <v>360</v>
      </c>
      <c r="Q33" s="41">
        <v>57.0</v>
      </c>
    </row>
    <row r="34">
      <c r="P34" s="13" t="s">
        <v>361</v>
      </c>
      <c r="Q34" s="41">
        <v>834.0</v>
      </c>
    </row>
    <row r="35">
      <c r="P35" s="13" t="s">
        <v>363</v>
      </c>
      <c r="Q35" s="41">
        <v>108.0</v>
      </c>
    </row>
    <row r="36">
      <c r="P36" s="13" t="s">
        <v>364</v>
      </c>
      <c r="Q36" s="41">
        <v>1808.0</v>
      </c>
    </row>
    <row r="37">
      <c r="P37" s="13" t="s">
        <v>365</v>
      </c>
      <c r="Q37" s="41">
        <v>402.0</v>
      </c>
    </row>
    <row r="38">
      <c r="P38" s="13" t="s">
        <v>366</v>
      </c>
      <c r="Q38" s="41">
        <v>198.0</v>
      </c>
    </row>
    <row r="39">
      <c r="P39" s="13" t="s">
        <v>367</v>
      </c>
      <c r="Q39" s="41">
        <v>57.0</v>
      </c>
    </row>
    <row r="40">
      <c r="P40" s="13" t="s">
        <v>368</v>
      </c>
      <c r="Q40" s="41">
        <v>1119.0</v>
      </c>
    </row>
    <row r="41">
      <c r="P41" s="13" t="s">
        <v>369</v>
      </c>
      <c r="Q41" s="41">
        <v>212.0</v>
      </c>
    </row>
    <row r="42">
      <c r="P42" s="13" t="s">
        <v>370</v>
      </c>
      <c r="Q42" s="41">
        <v>0.0</v>
      </c>
    </row>
    <row r="45">
      <c r="P45" s="43" t="s">
        <v>372</v>
      </c>
    </row>
    <row r="46">
      <c r="P46" s="13" t="s">
        <v>373</v>
      </c>
      <c r="Q46" s="41">
        <v>0.393</v>
      </c>
    </row>
    <row r="47">
      <c r="P47" s="13" t="s">
        <v>465</v>
      </c>
      <c r="Q47" s="41">
        <v>0.32</v>
      </c>
    </row>
    <row r="48">
      <c r="P48" s="13" t="s">
        <v>466</v>
      </c>
      <c r="Q48" s="41">
        <v>0.166</v>
      </c>
    </row>
    <row r="49">
      <c r="P49" s="13" t="s">
        <v>467</v>
      </c>
      <c r="Q49" s="41">
        <v>0.058</v>
      </c>
    </row>
    <row r="50">
      <c r="P50" s="13" t="s">
        <v>377</v>
      </c>
      <c r="Q50" s="41">
        <v>0.063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2309.7</v>
      </c>
      <c r="P2" s="1" t="s">
        <v>582</v>
      </c>
    </row>
    <row r="3">
      <c r="A3" s="1" t="s">
        <v>380</v>
      </c>
    </row>
    <row r="4">
      <c r="A4" s="44" t="s">
        <v>332</v>
      </c>
      <c r="B4" s="44" t="s">
        <v>333</v>
      </c>
      <c r="P4" s="13" t="s">
        <v>460</v>
      </c>
      <c r="Q4" s="41">
        <v>1070.6999999999998</v>
      </c>
    </row>
    <row r="5">
      <c r="A5" s="11" t="s">
        <v>583</v>
      </c>
      <c r="B5" s="31">
        <v>681.0</v>
      </c>
      <c r="P5" s="13" t="s">
        <v>462</v>
      </c>
      <c r="Q5" s="41">
        <v>1974.6999999999998</v>
      </c>
    </row>
    <row r="6">
      <c r="A6" s="11" t="s">
        <v>339</v>
      </c>
      <c r="B6" s="31">
        <v>302.0</v>
      </c>
      <c r="P6" s="13" t="s">
        <v>463</v>
      </c>
      <c r="Q6" s="41">
        <v>-15452.155999999999</v>
      </c>
    </row>
    <row r="7">
      <c r="A7" s="11" t="s">
        <v>341</v>
      </c>
      <c r="B7" s="31">
        <v>56.0</v>
      </c>
    </row>
    <row r="10">
      <c r="P10" s="43" t="s">
        <v>328</v>
      </c>
    </row>
    <row r="11">
      <c r="A11" s="1" t="s">
        <v>330</v>
      </c>
      <c r="P11" s="13" t="s">
        <v>329</v>
      </c>
      <c r="Q11" s="41">
        <v>1427.0</v>
      </c>
    </row>
    <row r="12">
      <c r="A12" s="44" t="s">
        <v>332</v>
      </c>
      <c r="B12" s="44" t="s">
        <v>333</v>
      </c>
      <c r="P12" s="13" t="s">
        <v>331</v>
      </c>
      <c r="Q12" s="41">
        <v>1834.0</v>
      </c>
    </row>
    <row r="13">
      <c r="A13" s="11" t="s">
        <v>584</v>
      </c>
      <c r="B13" s="31">
        <v>2713.0</v>
      </c>
      <c r="P13" s="13" t="s">
        <v>334</v>
      </c>
      <c r="Q13" s="41">
        <v>4283.0</v>
      </c>
    </row>
    <row r="14">
      <c r="A14" s="11" t="s">
        <v>339</v>
      </c>
      <c r="B14" s="31">
        <v>605.0</v>
      </c>
      <c r="P14" s="13" t="s">
        <v>336</v>
      </c>
      <c r="Q14" s="41">
        <v>4619.0</v>
      </c>
    </row>
    <row r="15">
      <c r="A15" s="11" t="s">
        <v>341</v>
      </c>
      <c r="B15" s="31">
        <v>79.0</v>
      </c>
      <c r="P15" s="13" t="s">
        <v>338</v>
      </c>
      <c r="Q15" s="41">
        <v>3730.0</v>
      </c>
    </row>
    <row r="16">
      <c r="P16" s="13" t="s">
        <v>340</v>
      </c>
      <c r="Q16" s="41">
        <v>4178.0</v>
      </c>
    </row>
    <row r="17">
      <c r="P17" s="13" t="s">
        <v>342</v>
      </c>
      <c r="Q17" s="41">
        <v>3306.0</v>
      </c>
    </row>
    <row r="18">
      <c r="P18" s="13" t="s">
        <v>343</v>
      </c>
      <c r="Q18" s="41">
        <v>2125.0</v>
      </c>
    </row>
    <row r="19">
      <c r="A19" s="28" t="s">
        <v>345</v>
      </c>
      <c r="P19" s="13" t="s">
        <v>464</v>
      </c>
      <c r="Q19" s="41">
        <v>848.0</v>
      </c>
    </row>
    <row r="21">
      <c r="A21" s="1" t="s">
        <v>347</v>
      </c>
    </row>
    <row r="22">
      <c r="A22" s="44" t="s">
        <v>332</v>
      </c>
      <c r="B22" s="44" t="s">
        <v>333</v>
      </c>
      <c r="P22" s="43" t="s">
        <v>346</v>
      </c>
    </row>
    <row r="23">
      <c r="A23" s="11" t="s">
        <v>583</v>
      </c>
      <c r="B23" s="31">
        <v>812.0</v>
      </c>
      <c r="P23" s="13" t="s">
        <v>348</v>
      </c>
      <c r="Q23" s="41">
        <v>9202.0</v>
      </c>
    </row>
    <row r="24">
      <c r="A24" s="11" t="s">
        <v>339</v>
      </c>
      <c r="B24" s="31">
        <v>286.0</v>
      </c>
      <c r="P24" s="13" t="s">
        <v>349</v>
      </c>
      <c r="Q24" s="41">
        <v>526.0</v>
      </c>
    </row>
    <row r="25">
      <c r="A25" s="11" t="s">
        <v>341</v>
      </c>
      <c r="B25" s="31">
        <v>52.0</v>
      </c>
      <c r="P25" s="13" t="s">
        <v>351</v>
      </c>
      <c r="Q25" s="41">
        <v>10.0</v>
      </c>
    </row>
    <row r="26">
      <c r="P26" s="13" t="s">
        <v>352</v>
      </c>
      <c r="Q26" s="41">
        <v>391.0</v>
      </c>
    </row>
    <row r="27">
      <c r="P27" s="13" t="s">
        <v>353</v>
      </c>
      <c r="Q27" s="41">
        <v>2755.0</v>
      </c>
    </row>
    <row r="28">
      <c r="P28" s="13" t="s">
        <v>354</v>
      </c>
      <c r="Q28" s="41">
        <v>1451.0</v>
      </c>
    </row>
    <row r="29">
      <c r="A29" s="1" t="s">
        <v>357</v>
      </c>
      <c r="P29" s="13" t="s">
        <v>355</v>
      </c>
      <c r="Q29" s="41">
        <v>4348.0</v>
      </c>
    </row>
    <row r="30">
      <c r="A30" s="44" t="s">
        <v>332</v>
      </c>
      <c r="B30" s="44" t="s">
        <v>333</v>
      </c>
      <c r="P30" s="13" t="s">
        <v>356</v>
      </c>
      <c r="Q30" s="41">
        <v>1662.0</v>
      </c>
    </row>
    <row r="31">
      <c r="A31" s="11" t="s">
        <v>584</v>
      </c>
      <c r="B31" s="31">
        <v>2834.0</v>
      </c>
      <c r="P31" s="13" t="s">
        <v>358</v>
      </c>
      <c r="Q31" s="41">
        <v>398.0</v>
      </c>
    </row>
    <row r="32">
      <c r="A32" s="11" t="s">
        <v>578</v>
      </c>
      <c r="B32" s="31">
        <v>986.0</v>
      </c>
      <c r="P32" s="13" t="s">
        <v>359</v>
      </c>
      <c r="Q32" s="41">
        <v>1472.0</v>
      </c>
    </row>
    <row r="33">
      <c r="A33" s="11" t="s">
        <v>339</v>
      </c>
      <c r="B33" s="31">
        <v>379.0</v>
      </c>
      <c r="P33" s="13" t="s">
        <v>360</v>
      </c>
      <c r="Q33" s="41">
        <v>68.0</v>
      </c>
    </row>
    <row r="34">
      <c r="A34" s="11" t="s">
        <v>341</v>
      </c>
      <c r="B34" s="31">
        <v>103.0</v>
      </c>
      <c r="P34" s="13" t="s">
        <v>361</v>
      </c>
      <c r="Q34" s="41">
        <v>335.0</v>
      </c>
    </row>
    <row r="35">
      <c r="P35" s="13" t="s">
        <v>363</v>
      </c>
      <c r="Q35" s="41">
        <v>33.0</v>
      </c>
    </row>
    <row r="36">
      <c r="P36" s="13" t="s">
        <v>364</v>
      </c>
      <c r="Q36" s="41">
        <v>220.0</v>
      </c>
    </row>
    <row r="37">
      <c r="P37" s="13" t="s">
        <v>365</v>
      </c>
      <c r="Q37" s="41">
        <v>473.0</v>
      </c>
    </row>
    <row r="38">
      <c r="P38" s="13" t="s">
        <v>366</v>
      </c>
      <c r="Q38" s="41">
        <v>124.0</v>
      </c>
    </row>
    <row r="39">
      <c r="P39" s="13" t="s">
        <v>367</v>
      </c>
      <c r="Q39" s="41">
        <v>194.0</v>
      </c>
    </row>
    <row r="40">
      <c r="P40" s="13" t="s">
        <v>368</v>
      </c>
      <c r="Q40" s="41">
        <v>1269.0</v>
      </c>
    </row>
    <row r="41">
      <c r="P41" s="13" t="s">
        <v>369</v>
      </c>
      <c r="Q41" s="41">
        <v>438.0</v>
      </c>
    </row>
    <row r="42">
      <c r="P42" s="13" t="s">
        <v>370</v>
      </c>
      <c r="Q42" s="41">
        <v>6.0</v>
      </c>
    </row>
    <row r="45">
      <c r="P45" s="43" t="s">
        <v>372</v>
      </c>
    </row>
    <row r="46">
      <c r="P46" s="13" t="s">
        <v>373</v>
      </c>
      <c r="Q46" s="41">
        <v>0.349</v>
      </c>
    </row>
    <row r="47">
      <c r="P47" s="13" t="s">
        <v>465</v>
      </c>
      <c r="Q47" s="41">
        <v>0.307</v>
      </c>
    </row>
    <row r="48">
      <c r="P48" s="13" t="s">
        <v>466</v>
      </c>
      <c r="Q48" s="41">
        <v>0.178</v>
      </c>
    </row>
    <row r="49">
      <c r="P49" s="13" t="s">
        <v>467</v>
      </c>
      <c r="Q49" s="41">
        <v>0.074</v>
      </c>
    </row>
    <row r="50">
      <c r="P50" s="13" t="s">
        <v>377</v>
      </c>
      <c r="Q50" s="41">
        <v>0.093</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3304.7999999999997</v>
      </c>
      <c r="P2" s="1" t="s">
        <v>585</v>
      </c>
    </row>
    <row r="3">
      <c r="A3" s="1" t="s">
        <v>330</v>
      </c>
    </row>
    <row r="4">
      <c r="A4" s="44" t="s">
        <v>332</v>
      </c>
      <c r="B4" s="44" t="s">
        <v>333</v>
      </c>
      <c r="P4" s="13" t="s">
        <v>460</v>
      </c>
      <c r="Q4" s="41">
        <v>1147.7999999999997</v>
      </c>
    </row>
    <row r="5">
      <c r="A5" s="11" t="s">
        <v>586</v>
      </c>
      <c r="B5" s="31">
        <v>2668.0</v>
      </c>
      <c r="P5" s="13" t="s">
        <v>462</v>
      </c>
      <c r="Q5" s="41">
        <v>2776.7999999999997</v>
      </c>
    </row>
    <row r="6">
      <c r="A6" s="11" t="s">
        <v>587</v>
      </c>
      <c r="B6" s="31">
        <v>2412.0</v>
      </c>
      <c r="P6" s="13" t="s">
        <v>463</v>
      </c>
      <c r="Q6" s="41">
        <v>-10959.206000000002</v>
      </c>
    </row>
    <row r="7">
      <c r="A7" s="11" t="s">
        <v>339</v>
      </c>
      <c r="B7" s="31">
        <v>145.0</v>
      </c>
    </row>
    <row r="8">
      <c r="A8" s="11" t="s">
        <v>341</v>
      </c>
      <c r="B8" s="31">
        <v>182.0</v>
      </c>
    </row>
    <row r="10">
      <c r="P10" s="43" t="s">
        <v>328</v>
      </c>
    </row>
    <row r="11">
      <c r="P11" s="13" t="s">
        <v>329</v>
      </c>
      <c r="Q11" s="41">
        <v>1263.0</v>
      </c>
    </row>
    <row r="12">
      <c r="A12" s="28" t="s">
        <v>345</v>
      </c>
      <c r="P12" s="13" t="s">
        <v>331</v>
      </c>
      <c r="Q12" s="41">
        <v>1941.0</v>
      </c>
    </row>
    <row r="13">
      <c r="P13" s="13" t="s">
        <v>334</v>
      </c>
      <c r="Q13" s="41">
        <v>4424.0</v>
      </c>
    </row>
    <row r="14">
      <c r="A14" s="1" t="s">
        <v>347</v>
      </c>
      <c r="P14" s="13" t="s">
        <v>336</v>
      </c>
      <c r="Q14" s="41">
        <v>5021.0</v>
      </c>
    </row>
    <row r="15">
      <c r="A15" s="44" t="s">
        <v>332</v>
      </c>
      <c r="B15" s="44" t="s">
        <v>333</v>
      </c>
      <c r="P15" s="13" t="s">
        <v>338</v>
      </c>
      <c r="Q15" s="41">
        <v>4399.0</v>
      </c>
    </row>
    <row r="16">
      <c r="A16" s="11" t="s">
        <v>588</v>
      </c>
      <c r="B16" s="31">
        <v>745.0</v>
      </c>
      <c r="P16" s="13" t="s">
        <v>340</v>
      </c>
      <c r="Q16" s="41">
        <v>3237.0</v>
      </c>
    </row>
    <row r="17">
      <c r="A17" s="11" t="s">
        <v>339</v>
      </c>
      <c r="B17" s="31">
        <v>372.0</v>
      </c>
      <c r="P17" s="13" t="s">
        <v>342</v>
      </c>
      <c r="Q17" s="41">
        <v>3016.0</v>
      </c>
    </row>
    <row r="18">
      <c r="A18" s="11" t="s">
        <v>341</v>
      </c>
      <c r="B18" s="31">
        <v>39.0</v>
      </c>
      <c r="P18" s="13" t="s">
        <v>343</v>
      </c>
      <c r="Q18" s="41">
        <v>1673.0</v>
      </c>
    </row>
    <row r="19">
      <c r="P19" s="13" t="s">
        <v>464</v>
      </c>
      <c r="Q19" s="41">
        <v>371.0</v>
      </c>
    </row>
    <row r="22">
      <c r="A22" s="1" t="s">
        <v>357</v>
      </c>
      <c r="P22" s="43" t="s">
        <v>346</v>
      </c>
    </row>
    <row r="23">
      <c r="A23" s="44" t="s">
        <v>332</v>
      </c>
      <c r="B23" s="44" t="s">
        <v>333</v>
      </c>
      <c r="P23" s="13" t="s">
        <v>348</v>
      </c>
      <c r="Q23" s="41">
        <v>4582.0</v>
      </c>
    </row>
    <row r="24">
      <c r="A24" s="11" t="s">
        <v>587</v>
      </c>
      <c r="B24" s="31">
        <v>2680.0</v>
      </c>
      <c r="P24" s="13" t="s">
        <v>349</v>
      </c>
      <c r="Q24" s="41">
        <v>702.0</v>
      </c>
    </row>
    <row r="25">
      <c r="A25" s="11" t="s">
        <v>586</v>
      </c>
      <c r="B25" s="31">
        <v>2519.0</v>
      </c>
      <c r="P25" s="13" t="s">
        <v>351</v>
      </c>
      <c r="Q25" s="41">
        <v>20.0</v>
      </c>
    </row>
    <row r="26">
      <c r="A26" s="11" t="s">
        <v>339</v>
      </c>
      <c r="B26" s="31">
        <v>300.0</v>
      </c>
      <c r="P26" s="13" t="s">
        <v>352</v>
      </c>
      <c r="Q26" s="41">
        <v>102.0</v>
      </c>
    </row>
    <row r="27">
      <c r="A27" s="11" t="s">
        <v>341</v>
      </c>
      <c r="B27" s="31">
        <v>110.0</v>
      </c>
      <c r="P27" s="13" t="s">
        <v>353</v>
      </c>
      <c r="Q27" s="41">
        <v>2669.0</v>
      </c>
    </row>
    <row r="28">
      <c r="P28" s="13" t="s">
        <v>354</v>
      </c>
      <c r="Q28" s="41">
        <v>1186.0</v>
      </c>
    </row>
    <row r="29">
      <c r="P29" s="13" t="s">
        <v>355</v>
      </c>
      <c r="Q29" s="41">
        <v>6051.0</v>
      </c>
    </row>
    <row r="30">
      <c r="P30" s="13" t="s">
        <v>356</v>
      </c>
      <c r="Q30" s="41">
        <v>3017.0</v>
      </c>
    </row>
    <row r="31">
      <c r="P31" s="13" t="s">
        <v>358</v>
      </c>
      <c r="Q31" s="41">
        <v>543.0</v>
      </c>
    </row>
    <row r="32">
      <c r="P32" s="13" t="s">
        <v>359</v>
      </c>
      <c r="Q32" s="41">
        <v>1690.0</v>
      </c>
    </row>
    <row r="33">
      <c r="P33" s="13" t="s">
        <v>360</v>
      </c>
      <c r="Q33" s="41">
        <v>53.0</v>
      </c>
    </row>
    <row r="34">
      <c r="P34" s="13" t="s">
        <v>361</v>
      </c>
      <c r="Q34" s="41">
        <v>528.0</v>
      </c>
    </row>
    <row r="35">
      <c r="P35" s="13" t="s">
        <v>363</v>
      </c>
      <c r="Q35" s="41">
        <v>156.0</v>
      </c>
    </row>
    <row r="36">
      <c r="P36" s="13" t="s">
        <v>364</v>
      </c>
      <c r="Q36" s="41">
        <v>396.0</v>
      </c>
    </row>
    <row r="37">
      <c r="P37" s="13" t="s">
        <v>365</v>
      </c>
      <c r="Q37" s="41">
        <v>264.0</v>
      </c>
    </row>
    <row r="38">
      <c r="P38" s="13" t="s">
        <v>366</v>
      </c>
      <c r="Q38" s="41">
        <v>121.0</v>
      </c>
    </row>
    <row r="39">
      <c r="P39" s="13" t="s">
        <v>367</v>
      </c>
      <c r="Q39" s="41">
        <v>110.0</v>
      </c>
    </row>
    <row r="40">
      <c r="P40" s="13" t="s">
        <v>368</v>
      </c>
      <c r="Q40" s="41">
        <v>1641.0</v>
      </c>
    </row>
    <row r="41">
      <c r="P41" s="13" t="s">
        <v>369</v>
      </c>
      <c r="Q41" s="41">
        <v>168.0</v>
      </c>
    </row>
    <row r="42">
      <c r="P42" s="13" t="s">
        <v>370</v>
      </c>
      <c r="Q42" s="41">
        <v>76.0</v>
      </c>
    </row>
    <row r="45">
      <c r="P45" s="43" t="s">
        <v>372</v>
      </c>
    </row>
    <row r="46">
      <c r="P46" s="13" t="s">
        <v>373</v>
      </c>
      <c r="Q46" s="41">
        <v>0.29500000000000004</v>
      </c>
    </row>
    <row r="47">
      <c r="P47" s="13" t="s">
        <v>465</v>
      </c>
      <c r="Q47" s="41">
        <v>0.246</v>
      </c>
    </row>
    <row r="48">
      <c r="P48" s="13" t="s">
        <v>466</v>
      </c>
      <c r="Q48" s="41">
        <v>0.197</v>
      </c>
    </row>
    <row r="49">
      <c r="P49" s="13" t="s">
        <v>467</v>
      </c>
      <c r="Q49" s="41">
        <v>0.11</v>
      </c>
    </row>
    <row r="50">
      <c r="P50" s="13" t="s">
        <v>377</v>
      </c>
      <c r="Q50" s="41">
        <v>0.152</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3029.1</v>
      </c>
      <c r="P2" s="1" t="s">
        <v>589</v>
      </c>
    </row>
    <row r="3">
      <c r="A3" s="1" t="s">
        <v>330</v>
      </c>
    </row>
    <row r="4">
      <c r="A4" s="44" t="s">
        <v>332</v>
      </c>
      <c r="B4" s="44" t="s">
        <v>333</v>
      </c>
      <c r="P4" s="13" t="s">
        <v>460</v>
      </c>
      <c r="Q4" s="41">
        <v>-842.9000000000001</v>
      </c>
    </row>
    <row r="5">
      <c r="A5" s="11" t="s">
        <v>590</v>
      </c>
      <c r="B5" s="31">
        <v>3038.0</v>
      </c>
      <c r="P5" s="13" t="s">
        <v>462</v>
      </c>
      <c r="Q5" s="41">
        <v>1620.1</v>
      </c>
    </row>
    <row r="6">
      <c r="A6" s="11" t="s">
        <v>339</v>
      </c>
      <c r="B6" s="31">
        <v>1251.0</v>
      </c>
      <c r="P6" s="13" t="s">
        <v>463</v>
      </c>
      <c r="Q6" s="41">
        <v>-15588.107999999998</v>
      </c>
    </row>
    <row r="7">
      <c r="A7" s="11" t="s">
        <v>341</v>
      </c>
      <c r="B7" s="31">
        <v>65.0</v>
      </c>
    </row>
    <row r="10">
      <c r="P10" s="43" t="s">
        <v>328</v>
      </c>
    </row>
    <row r="11">
      <c r="A11" s="28" t="s">
        <v>345</v>
      </c>
      <c r="P11" s="13" t="s">
        <v>329</v>
      </c>
      <c r="Q11" s="41">
        <v>2022.0</v>
      </c>
    </row>
    <row r="12">
      <c r="P12" s="13" t="s">
        <v>331</v>
      </c>
      <c r="Q12" s="41">
        <v>2505.0</v>
      </c>
    </row>
    <row r="13">
      <c r="A13" s="1" t="s">
        <v>347</v>
      </c>
      <c r="P13" s="13" t="s">
        <v>334</v>
      </c>
      <c r="Q13" s="41">
        <v>4986.0</v>
      </c>
    </row>
    <row r="14">
      <c r="A14" s="44" t="s">
        <v>332</v>
      </c>
      <c r="B14" s="44" t="s">
        <v>333</v>
      </c>
      <c r="P14" s="13" t="s">
        <v>336</v>
      </c>
      <c r="Q14" s="41">
        <v>4351.0</v>
      </c>
    </row>
    <row r="15">
      <c r="A15" s="11" t="s">
        <v>591</v>
      </c>
      <c r="B15" s="31">
        <v>826.0</v>
      </c>
      <c r="P15" s="13" t="s">
        <v>338</v>
      </c>
      <c r="Q15" s="41">
        <v>3139.0</v>
      </c>
    </row>
    <row r="16">
      <c r="A16" s="11" t="s">
        <v>339</v>
      </c>
      <c r="B16" s="31">
        <v>336.0</v>
      </c>
      <c r="P16" s="13" t="s">
        <v>340</v>
      </c>
      <c r="Q16" s="41">
        <v>3598.0</v>
      </c>
    </row>
    <row r="17">
      <c r="A17" s="11" t="s">
        <v>341</v>
      </c>
      <c r="B17" s="31">
        <v>50.0</v>
      </c>
      <c r="P17" s="13" t="s">
        <v>342</v>
      </c>
      <c r="Q17" s="41">
        <v>3335.0</v>
      </c>
    </row>
    <row r="18">
      <c r="P18" s="13" t="s">
        <v>343</v>
      </c>
      <c r="Q18" s="41">
        <v>2132.0</v>
      </c>
    </row>
    <row r="19">
      <c r="P19" s="13" t="s">
        <v>464</v>
      </c>
      <c r="Q19" s="41">
        <v>1111.0</v>
      </c>
    </row>
    <row r="21">
      <c r="A21" s="1" t="s">
        <v>357</v>
      </c>
    </row>
    <row r="22">
      <c r="A22" s="44" t="s">
        <v>332</v>
      </c>
      <c r="B22" s="44" t="s">
        <v>333</v>
      </c>
      <c r="P22" s="43" t="s">
        <v>346</v>
      </c>
    </row>
    <row r="23">
      <c r="A23" s="11" t="s">
        <v>590</v>
      </c>
      <c r="B23" s="31">
        <v>2897.0</v>
      </c>
      <c r="P23" s="13" t="s">
        <v>348</v>
      </c>
      <c r="Q23" s="41">
        <v>5266.0</v>
      </c>
    </row>
    <row r="24">
      <c r="A24" s="11" t="s">
        <v>592</v>
      </c>
      <c r="B24" s="31">
        <v>1935.0</v>
      </c>
      <c r="P24" s="13" t="s">
        <v>349</v>
      </c>
      <c r="Q24" s="41">
        <v>588.0</v>
      </c>
    </row>
    <row r="25">
      <c r="A25" s="11" t="s">
        <v>593</v>
      </c>
      <c r="B25" s="31">
        <v>273.0</v>
      </c>
      <c r="P25" s="13" t="s">
        <v>351</v>
      </c>
      <c r="Q25" s="41">
        <v>31.0</v>
      </c>
    </row>
    <row r="26">
      <c r="A26" s="11" t="s">
        <v>339</v>
      </c>
      <c r="B26" s="31">
        <v>550.0</v>
      </c>
      <c r="P26" s="13" t="s">
        <v>352</v>
      </c>
      <c r="Q26" s="41">
        <v>75.0</v>
      </c>
    </row>
    <row r="27">
      <c r="A27" s="11" t="s">
        <v>341</v>
      </c>
      <c r="B27" s="31">
        <v>88.0</v>
      </c>
      <c r="P27" s="13" t="s">
        <v>353</v>
      </c>
      <c r="Q27" s="41">
        <v>2312.0</v>
      </c>
    </row>
    <row r="28">
      <c r="P28" s="13" t="s">
        <v>354</v>
      </c>
      <c r="Q28" s="41">
        <v>1848.0</v>
      </c>
    </row>
    <row r="29">
      <c r="P29" s="13" t="s">
        <v>355</v>
      </c>
      <c r="Q29" s="41">
        <v>4355.0</v>
      </c>
    </row>
    <row r="30">
      <c r="P30" s="13" t="s">
        <v>356</v>
      </c>
      <c r="Q30" s="41">
        <v>1643.0</v>
      </c>
    </row>
    <row r="31">
      <c r="P31" s="13" t="s">
        <v>358</v>
      </c>
      <c r="Q31" s="41">
        <v>866.0</v>
      </c>
    </row>
    <row r="32">
      <c r="P32" s="13" t="s">
        <v>359</v>
      </c>
      <c r="Q32" s="41">
        <v>1955.0</v>
      </c>
    </row>
    <row r="33">
      <c r="P33" s="13" t="s">
        <v>360</v>
      </c>
      <c r="Q33" s="41">
        <v>9.0</v>
      </c>
    </row>
    <row r="34">
      <c r="P34" s="13" t="s">
        <v>361</v>
      </c>
      <c r="Q34" s="41">
        <v>1409.0</v>
      </c>
    </row>
    <row r="35">
      <c r="P35" s="13" t="s">
        <v>363</v>
      </c>
      <c r="Q35" s="41">
        <v>158.0</v>
      </c>
    </row>
    <row r="36">
      <c r="P36" s="13" t="s">
        <v>364</v>
      </c>
      <c r="Q36" s="41">
        <v>1976.0</v>
      </c>
    </row>
    <row r="37">
      <c r="P37" s="13" t="s">
        <v>365</v>
      </c>
      <c r="Q37" s="41">
        <v>455.0</v>
      </c>
    </row>
    <row r="38">
      <c r="P38" s="13" t="s">
        <v>366</v>
      </c>
      <c r="Q38" s="41">
        <v>228.0</v>
      </c>
    </row>
    <row r="39">
      <c r="P39" s="13" t="s">
        <v>367</v>
      </c>
      <c r="Q39" s="41">
        <v>35.0</v>
      </c>
    </row>
    <row r="40">
      <c r="P40" s="13" t="s">
        <v>368</v>
      </c>
      <c r="Q40" s="41">
        <v>1278.0</v>
      </c>
    </row>
    <row r="41">
      <c r="P41" s="13" t="s">
        <v>369</v>
      </c>
      <c r="Q41" s="41">
        <v>156.0</v>
      </c>
    </row>
    <row r="42">
      <c r="P42" s="13" t="s">
        <v>370</v>
      </c>
      <c r="Q42" s="41">
        <v>29.0</v>
      </c>
    </row>
    <row r="45">
      <c r="P45" s="43" t="s">
        <v>372</v>
      </c>
    </row>
    <row r="46">
      <c r="P46" s="13" t="s">
        <v>373</v>
      </c>
      <c r="Q46" s="41">
        <v>0.335</v>
      </c>
    </row>
    <row r="47">
      <c r="P47" s="13" t="s">
        <v>465</v>
      </c>
      <c r="Q47" s="41">
        <v>0.317</v>
      </c>
    </row>
    <row r="48">
      <c r="P48" s="13" t="s">
        <v>466</v>
      </c>
      <c r="Q48" s="41">
        <v>0.181</v>
      </c>
    </row>
    <row r="49">
      <c r="P49" s="13" t="s">
        <v>467</v>
      </c>
      <c r="Q49" s="41">
        <v>0.08</v>
      </c>
    </row>
    <row r="50">
      <c r="P50" s="13" t="s">
        <v>377</v>
      </c>
      <c r="Q50" s="41">
        <v>0.088</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5.13"/>
    <col customWidth="1" min="13" max="13" width="53.13"/>
    <col customWidth="1" min="14" max="14" width="7.25"/>
  </cols>
  <sheetData>
    <row r="1">
      <c r="A1" s="28" t="s">
        <v>327</v>
      </c>
      <c r="N1" s="1" t="s">
        <v>457</v>
      </c>
      <c r="P1" s="28" t="s">
        <v>458</v>
      </c>
    </row>
    <row r="2">
      <c r="N2" s="41">
        <v>3975.2999999999997</v>
      </c>
      <c r="P2" s="1" t="s">
        <v>594</v>
      </c>
    </row>
    <row r="3">
      <c r="A3" s="1" t="s">
        <v>380</v>
      </c>
    </row>
    <row r="4">
      <c r="A4" s="44" t="s">
        <v>332</v>
      </c>
      <c r="B4" s="44" t="s">
        <v>333</v>
      </c>
      <c r="P4" s="13" t="s">
        <v>460</v>
      </c>
      <c r="Q4" s="41">
        <v>-260.7000000000003</v>
      </c>
    </row>
    <row r="5">
      <c r="A5" s="11" t="s">
        <v>595</v>
      </c>
      <c r="B5" s="31">
        <v>770.0</v>
      </c>
      <c r="P5" s="13" t="s">
        <v>462</v>
      </c>
      <c r="Q5" s="41">
        <v>2434.2999999999997</v>
      </c>
    </row>
    <row r="6">
      <c r="A6" s="11" t="s">
        <v>596</v>
      </c>
      <c r="B6" s="31">
        <v>261.0</v>
      </c>
      <c r="P6" s="13" t="s">
        <v>463</v>
      </c>
      <c r="Q6" s="41">
        <v>-9001.86</v>
      </c>
    </row>
    <row r="7">
      <c r="A7" s="11" t="s">
        <v>339</v>
      </c>
      <c r="B7" s="31">
        <v>177.0</v>
      </c>
    </row>
    <row r="8">
      <c r="A8" s="11" t="s">
        <v>341</v>
      </c>
      <c r="B8" s="31">
        <v>111.0</v>
      </c>
    </row>
    <row r="10">
      <c r="P10" s="43" t="s">
        <v>328</v>
      </c>
    </row>
    <row r="11">
      <c r="P11" s="13" t="s">
        <v>329</v>
      </c>
      <c r="Q11" s="41">
        <v>2587.0</v>
      </c>
    </row>
    <row r="12">
      <c r="A12" s="1" t="s">
        <v>330</v>
      </c>
      <c r="P12" s="13" t="s">
        <v>331</v>
      </c>
      <c r="Q12" s="41">
        <v>2688.0</v>
      </c>
    </row>
    <row r="13">
      <c r="A13" s="44" t="s">
        <v>332</v>
      </c>
      <c r="B13" s="44" t="s">
        <v>333</v>
      </c>
      <c r="P13" s="13" t="s">
        <v>334</v>
      </c>
      <c r="Q13" s="41">
        <v>3513.0</v>
      </c>
    </row>
    <row r="14">
      <c r="A14" s="11" t="s">
        <v>597</v>
      </c>
      <c r="B14" s="31">
        <v>4547.0</v>
      </c>
      <c r="P14" s="13" t="s">
        <v>336</v>
      </c>
      <c r="Q14" s="41">
        <v>2868.0</v>
      </c>
    </row>
    <row r="15">
      <c r="A15" s="11" t="s">
        <v>339</v>
      </c>
      <c r="B15" s="31">
        <v>1007.0</v>
      </c>
      <c r="P15" s="13" t="s">
        <v>338</v>
      </c>
      <c r="Q15" s="41">
        <v>2696.0</v>
      </c>
    </row>
    <row r="16">
      <c r="A16" s="11" t="s">
        <v>341</v>
      </c>
      <c r="B16" s="31">
        <v>66.0</v>
      </c>
      <c r="P16" s="13" t="s">
        <v>340</v>
      </c>
      <c r="Q16" s="41">
        <v>3747.0</v>
      </c>
    </row>
    <row r="17">
      <c r="P17" s="13" t="s">
        <v>342</v>
      </c>
      <c r="Q17" s="41">
        <v>3452.0</v>
      </c>
    </row>
    <row r="18">
      <c r="A18" s="13" t="s">
        <v>598</v>
      </c>
      <c r="B18" s="50">
        <v>0.176</v>
      </c>
      <c r="P18" s="13" t="s">
        <v>343</v>
      </c>
      <c r="Q18" s="41">
        <v>2045.0</v>
      </c>
    </row>
    <row r="19">
      <c r="P19" s="13" t="s">
        <v>464</v>
      </c>
      <c r="Q19" s="41">
        <v>1838.0</v>
      </c>
    </row>
    <row r="20">
      <c r="A20" s="28" t="s">
        <v>345</v>
      </c>
    </row>
    <row r="22">
      <c r="A22" s="1" t="s">
        <v>347</v>
      </c>
      <c r="P22" s="43" t="s">
        <v>346</v>
      </c>
    </row>
    <row r="23">
      <c r="A23" s="44" t="s">
        <v>332</v>
      </c>
      <c r="B23" s="44" t="s">
        <v>333</v>
      </c>
      <c r="P23" s="13" t="s">
        <v>348</v>
      </c>
      <c r="Q23" s="41">
        <v>3550.0</v>
      </c>
    </row>
    <row r="24">
      <c r="A24" s="11" t="s">
        <v>595</v>
      </c>
      <c r="B24" s="31">
        <v>886.0</v>
      </c>
      <c r="P24" s="13" t="s">
        <v>349</v>
      </c>
      <c r="Q24" s="41">
        <v>132.0</v>
      </c>
    </row>
    <row r="25">
      <c r="A25" s="11" t="s">
        <v>339</v>
      </c>
      <c r="B25" s="31">
        <v>460.0</v>
      </c>
      <c r="P25" s="13" t="s">
        <v>351</v>
      </c>
      <c r="Q25" s="41">
        <v>40.0</v>
      </c>
    </row>
    <row r="26">
      <c r="A26" s="11" t="s">
        <v>341</v>
      </c>
      <c r="B26" s="31">
        <v>55.0</v>
      </c>
      <c r="P26" s="13" t="s">
        <v>352</v>
      </c>
      <c r="Q26" s="41">
        <v>2.0</v>
      </c>
    </row>
    <row r="27">
      <c r="P27" s="13" t="s">
        <v>353</v>
      </c>
      <c r="Q27" s="41">
        <v>2937.0</v>
      </c>
    </row>
    <row r="28">
      <c r="P28" s="13" t="s">
        <v>354</v>
      </c>
      <c r="Q28" s="41">
        <v>1423.0</v>
      </c>
    </row>
    <row r="29">
      <c r="P29" s="13" t="s">
        <v>355</v>
      </c>
      <c r="Q29" s="41">
        <v>6688.0</v>
      </c>
    </row>
    <row r="30">
      <c r="A30" s="1" t="s">
        <v>357</v>
      </c>
      <c r="P30" s="13" t="s">
        <v>356</v>
      </c>
      <c r="Q30" s="41">
        <v>381.0</v>
      </c>
    </row>
    <row r="31">
      <c r="A31" s="44" t="s">
        <v>332</v>
      </c>
      <c r="B31" s="44" t="s">
        <v>333</v>
      </c>
      <c r="P31" s="13" t="s">
        <v>358</v>
      </c>
      <c r="Q31" s="41">
        <v>160.0</v>
      </c>
    </row>
    <row r="32">
      <c r="A32" s="11" t="s">
        <v>597</v>
      </c>
      <c r="B32" s="31">
        <v>3824.0</v>
      </c>
      <c r="P32" s="13" t="s">
        <v>359</v>
      </c>
      <c r="Q32" s="41">
        <v>2197.0</v>
      </c>
    </row>
    <row r="33">
      <c r="A33" s="11" t="s">
        <v>599</v>
      </c>
      <c r="B33" s="31">
        <v>3199.0</v>
      </c>
      <c r="P33" s="13" t="s">
        <v>360</v>
      </c>
      <c r="Q33" s="41">
        <v>17.0</v>
      </c>
    </row>
    <row r="34">
      <c r="A34" s="11" t="s">
        <v>339</v>
      </c>
      <c r="B34" s="31">
        <v>515.0</v>
      </c>
      <c r="P34" s="13" t="s">
        <v>361</v>
      </c>
      <c r="Q34" s="41">
        <v>1541.0</v>
      </c>
    </row>
    <row r="35">
      <c r="A35" s="11" t="s">
        <v>341</v>
      </c>
      <c r="B35" s="31">
        <v>93.0</v>
      </c>
      <c r="P35" s="13" t="s">
        <v>363</v>
      </c>
      <c r="Q35" s="41">
        <v>84.0</v>
      </c>
    </row>
    <row r="36">
      <c r="P36" s="13" t="s">
        <v>364</v>
      </c>
      <c r="Q36" s="41">
        <v>557.0</v>
      </c>
    </row>
    <row r="37">
      <c r="P37" s="13" t="s">
        <v>365</v>
      </c>
      <c r="Q37" s="41">
        <v>139.0</v>
      </c>
    </row>
    <row r="38">
      <c r="P38" s="13" t="s">
        <v>366</v>
      </c>
      <c r="Q38" s="41">
        <v>66.0</v>
      </c>
    </row>
    <row r="39">
      <c r="P39" s="13" t="s">
        <v>367</v>
      </c>
      <c r="Q39" s="41">
        <v>89.0</v>
      </c>
    </row>
    <row r="40">
      <c r="P40" s="13" t="s">
        <v>368</v>
      </c>
      <c r="Q40" s="41">
        <v>1807.0</v>
      </c>
    </row>
    <row r="41">
      <c r="P41" s="13" t="s">
        <v>369</v>
      </c>
      <c r="Q41" s="41">
        <v>109.0</v>
      </c>
    </row>
    <row r="42">
      <c r="P42" s="13" t="s">
        <v>370</v>
      </c>
      <c r="Q42" s="41">
        <v>51.0</v>
      </c>
    </row>
    <row r="45">
      <c r="P45" s="43" t="s">
        <v>372</v>
      </c>
    </row>
    <row r="46">
      <c r="P46" s="13" t="s">
        <v>373</v>
      </c>
      <c r="Q46" s="41">
        <v>0.227</v>
      </c>
    </row>
    <row r="47">
      <c r="P47" s="13" t="s">
        <v>465</v>
      </c>
      <c r="Q47" s="41">
        <v>0.263</v>
      </c>
    </row>
    <row r="48">
      <c r="P48" s="13" t="s">
        <v>466</v>
      </c>
      <c r="Q48" s="41">
        <v>0.148</v>
      </c>
    </row>
    <row r="49">
      <c r="P49" s="13" t="s">
        <v>467</v>
      </c>
      <c r="Q49" s="41">
        <v>0.125</v>
      </c>
    </row>
    <row r="50">
      <c r="P50" s="13" t="s">
        <v>377</v>
      </c>
      <c r="Q50" s="41">
        <v>0.237</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5.13"/>
    <col customWidth="1" min="13" max="13" width="53.13"/>
    <col customWidth="1" min="14" max="14" width="9.13"/>
  </cols>
  <sheetData>
    <row r="1">
      <c r="A1" s="28" t="s">
        <v>327</v>
      </c>
      <c r="N1" s="1" t="s">
        <v>457</v>
      </c>
      <c r="P1" s="28" t="s">
        <v>458</v>
      </c>
    </row>
    <row r="2">
      <c r="N2" s="41">
        <v>1634.1</v>
      </c>
      <c r="P2" s="1" t="s">
        <v>600</v>
      </c>
    </row>
    <row r="3">
      <c r="A3" s="1" t="s">
        <v>330</v>
      </c>
    </row>
    <row r="4">
      <c r="A4" s="44" t="s">
        <v>332</v>
      </c>
      <c r="B4" s="44" t="s">
        <v>333</v>
      </c>
      <c r="P4" s="13" t="s">
        <v>460</v>
      </c>
      <c r="Q4" s="41">
        <v>623.0999999999999</v>
      </c>
    </row>
    <row r="5">
      <c r="A5" s="11" t="s">
        <v>601</v>
      </c>
      <c r="B5" s="31">
        <v>1466.0</v>
      </c>
      <c r="P5" s="13" t="s">
        <v>462</v>
      </c>
      <c r="Q5" s="41">
        <v>722.0999999999999</v>
      </c>
    </row>
    <row r="6">
      <c r="A6" s="11" t="s">
        <v>602</v>
      </c>
      <c r="B6" s="31">
        <v>429.0</v>
      </c>
      <c r="P6" s="13" t="s">
        <v>463</v>
      </c>
      <c r="Q6" s="41">
        <v>-17642.863</v>
      </c>
    </row>
    <row r="7">
      <c r="A7" s="11" t="s">
        <v>339</v>
      </c>
      <c r="B7" s="31">
        <v>309.0</v>
      </c>
    </row>
    <row r="8">
      <c r="A8" s="11" t="s">
        <v>341</v>
      </c>
      <c r="B8" s="31">
        <v>142.0</v>
      </c>
    </row>
    <row r="10">
      <c r="P10" s="43" t="s">
        <v>328</v>
      </c>
    </row>
    <row r="11">
      <c r="P11" s="13" t="s">
        <v>329</v>
      </c>
      <c r="Q11" s="41">
        <v>2702.0</v>
      </c>
    </row>
    <row r="12">
      <c r="A12" s="28" t="s">
        <v>345</v>
      </c>
      <c r="P12" s="13" t="s">
        <v>331</v>
      </c>
      <c r="Q12" s="41">
        <v>2778.0</v>
      </c>
    </row>
    <row r="13">
      <c r="P13" s="13" t="s">
        <v>334</v>
      </c>
      <c r="Q13" s="41">
        <v>3886.0</v>
      </c>
    </row>
    <row r="14">
      <c r="A14" s="1" t="s">
        <v>479</v>
      </c>
      <c r="P14" s="13" t="s">
        <v>336</v>
      </c>
      <c r="Q14" s="41">
        <v>3236.0</v>
      </c>
    </row>
    <row r="15">
      <c r="A15" s="44" t="s">
        <v>332</v>
      </c>
      <c r="B15" s="44" t="s">
        <v>333</v>
      </c>
      <c r="P15" s="13" t="s">
        <v>338</v>
      </c>
      <c r="Q15" s="41">
        <v>3567.0</v>
      </c>
    </row>
    <row r="16">
      <c r="A16" s="11" t="s">
        <v>602</v>
      </c>
      <c r="B16" s="31">
        <v>17.0</v>
      </c>
      <c r="P16" s="13" t="s">
        <v>340</v>
      </c>
      <c r="Q16" s="41">
        <v>3434.0</v>
      </c>
    </row>
    <row r="17">
      <c r="A17" s="11" t="s">
        <v>339</v>
      </c>
      <c r="B17" s="31">
        <v>3.0</v>
      </c>
      <c r="P17" s="13" t="s">
        <v>342</v>
      </c>
      <c r="Q17" s="41">
        <v>3475.0</v>
      </c>
    </row>
    <row r="18">
      <c r="A18" s="11" t="s">
        <v>341</v>
      </c>
      <c r="B18" s="31">
        <v>95.0</v>
      </c>
      <c r="P18" s="13" t="s">
        <v>343</v>
      </c>
      <c r="Q18" s="41">
        <v>2016.0</v>
      </c>
    </row>
    <row r="19">
      <c r="P19" s="13" t="s">
        <v>464</v>
      </c>
      <c r="Q19" s="41">
        <v>848.0</v>
      </c>
    </row>
    <row r="22">
      <c r="A22" s="1" t="s">
        <v>357</v>
      </c>
      <c r="P22" s="43" t="s">
        <v>346</v>
      </c>
    </row>
    <row r="23">
      <c r="A23" s="44" t="s">
        <v>332</v>
      </c>
      <c r="B23" s="44" t="s">
        <v>333</v>
      </c>
      <c r="P23" s="13" t="s">
        <v>348</v>
      </c>
      <c r="Q23" s="41">
        <v>2423.0</v>
      </c>
    </row>
    <row r="24">
      <c r="A24" s="11" t="s">
        <v>601</v>
      </c>
      <c r="B24" s="31">
        <v>1768.0</v>
      </c>
      <c r="P24" s="13" t="s">
        <v>349</v>
      </c>
      <c r="Q24" s="41">
        <v>353.0</v>
      </c>
    </row>
    <row r="25">
      <c r="A25" s="11" t="s">
        <v>603</v>
      </c>
      <c r="B25" s="31">
        <v>531.0</v>
      </c>
      <c r="P25" s="13" t="s">
        <v>351</v>
      </c>
      <c r="Q25" s="41">
        <v>78.0</v>
      </c>
    </row>
    <row r="26">
      <c r="A26" s="11" t="s">
        <v>604</v>
      </c>
      <c r="B26" s="31">
        <v>190.0</v>
      </c>
      <c r="P26" s="13" t="s">
        <v>352</v>
      </c>
      <c r="Q26" s="41">
        <v>27.0</v>
      </c>
    </row>
    <row r="27">
      <c r="A27" s="11" t="s">
        <v>339</v>
      </c>
      <c r="B27" s="31">
        <v>500.0</v>
      </c>
      <c r="P27" s="13" t="s">
        <v>353</v>
      </c>
      <c r="Q27" s="41">
        <v>6458.0</v>
      </c>
    </row>
    <row r="28">
      <c r="A28" s="11" t="s">
        <v>341</v>
      </c>
      <c r="B28" s="31">
        <v>112.0</v>
      </c>
      <c r="P28" s="13" t="s">
        <v>354</v>
      </c>
      <c r="Q28" s="41">
        <v>4528.0</v>
      </c>
    </row>
    <row r="29">
      <c r="P29" s="13" t="s">
        <v>355</v>
      </c>
      <c r="Q29" s="41">
        <v>1832.0</v>
      </c>
    </row>
    <row r="30">
      <c r="P30" s="13" t="s">
        <v>356</v>
      </c>
      <c r="Q30" s="41">
        <v>1307.0</v>
      </c>
    </row>
    <row r="31">
      <c r="P31" s="13" t="s">
        <v>358</v>
      </c>
      <c r="Q31" s="41">
        <v>1120.0</v>
      </c>
    </row>
    <row r="32">
      <c r="P32" s="13" t="s">
        <v>359</v>
      </c>
      <c r="Q32" s="41">
        <v>1004.0</v>
      </c>
    </row>
    <row r="33">
      <c r="P33" s="13" t="s">
        <v>360</v>
      </c>
      <c r="Q33" s="41">
        <v>143.0</v>
      </c>
    </row>
    <row r="34">
      <c r="P34" s="13" t="s">
        <v>361</v>
      </c>
      <c r="Q34" s="41">
        <v>912.0</v>
      </c>
    </row>
    <row r="35">
      <c r="P35" s="13" t="s">
        <v>363</v>
      </c>
      <c r="Q35" s="41">
        <v>574.0</v>
      </c>
    </row>
    <row r="36">
      <c r="P36" s="13" t="s">
        <v>364</v>
      </c>
      <c r="Q36" s="41">
        <v>2582.0</v>
      </c>
    </row>
    <row r="37">
      <c r="P37" s="13" t="s">
        <v>365</v>
      </c>
      <c r="Q37" s="41">
        <v>318.0</v>
      </c>
    </row>
    <row r="38">
      <c r="P38" s="13" t="s">
        <v>366</v>
      </c>
      <c r="Q38" s="41">
        <v>71.0</v>
      </c>
    </row>
    <row r="39">
      <c r="P39" s="13" t="s">
        <v>367</v>
      </c>
      <c r="Q39" s="41">
        <v>78.0</v>
      </c>
    </row>
    <row r="40">
      <c r="P40" s="13" t="s">
        <v>368</v>
      </c>
      <c r="Q40" s="41">
        <v>713.0</v>
      </c>
    </row>
    <row r="41">
      <c r="P41" s="13" t="s">
        <v>369</v>
      </c>
      <c r="Q41" s="41">
        <v>63.0</v>
      </c>
    </row>
    <row r="42">
      <c r="P42" s="13" t="s">
        <v>370</v>
      </c>
      <c r="Q42" s="41">
        <v>12.0</v>
      </c>
    </row>
    <row r="45">
      <c r="P45" s="43" t="s">
        <v>372</v>
      </c>
    </row>
    <row r="46">
      <c r="P46" s="13" t="s">
        <v>373</v>
      </c>
      <c r="Q46" s="41">
        <v>0.43599999999999994</v>
      </c>
    </row>
    <row r="47">
      <c r="P47" s="13" t="s">
        <v>465</v>
      </c>
      <c r="Q47" s="41">
        <v>0.267</v>
      </c>
    </row>
    <row r="48">
      <c r="P48" s="13" t="s">
        <v>466</v>
      </c>
      <c r="Q48" s="41">
        <v>0.15</v>
      </c>
    </row>
    <row r="49">
      <c r="P49" s="13" t="s">
        <v>467</v>
      </c>
      <c r="Q49" s="41">
        <v>0.085</v>
      </c>
    </row>
    <row r="50">
      <c r="P50" s="13" t="s">
        <v>377</v>
      </c>
      <c r="Q50" s="41">
        <v>0.061</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1824.3</v>
      </c>
      <c r="P2" s="1" t="s">
        <v>605</v>
      </c>
    </row>
    <row r="3">
      <c r="A3" s="1" t="s">
        <v>380</v>
      </c>
    </row>
    <row r="4">
      <c r="A4" s="44" t="s">
        <v>332</v>
      </c>
      <c r="B4" s="44" t="s">
        <v>333</v>
      </c>
      <c r="N4" s="17">
        <f>sum(B13:B16)+Sum(B32:B34)</f>
        <v>6081</v>
      </c>
      <c r="P4" s="13" t="s">
        <v>460</v>
      </c>
      <c r="Q4" s="41">
        <v>-54.700000000000045</v>
      </c>
    </row>
    <row r="5">
      <c r="A5" s="11" t="s">
        <v>606</v>
      </c>
      <c r="B5" s="31">
        <v>417.0</v>
      </c>
      <c r="N5" s="17">
        <f>N4/2</f>
        <v>3040.5</v>
      </c>
      <c r="P5" s="13" t="s">
        <v>462</v>
      </c>
      <c r="Q5" s="41">
        <v>1118.3</v>
      </c>
    </row>
    <row r="6">
      <c r="A6" s="11" t="s">
        <v>339</v>
      </c>
      <c r="B6" s="31">
        <v>182.0</v>
      </c>
      <c r="N6" s="17">
        <f>N5*1.2</f>
        <v>3648.6</v>
      </c>
      <c r="P6" s="13" t="s">
        <v>463</v>
      </c>
      <c r="Q6" s="41">
        <v>-10380.936000000002</v>
      </c>
    </row>
    <row r="7">
      <c r="A7" s="11" t="s">
        <v>341</v>
      </c>
      <c r="B7" s="31">
        <v>76.0</v>
      </c>
      <c r="N7" s="17">
        <f>N6/2</f>
        <v>1824.3</v>
      </c>
    </row>
    <row r="10">
      <c r="P10" s="43" t="s">
        <v>328</v>
      </c>
    </row>
    <row r="11">
      <c r="A11" s="1" t="s">
        <v>330</v>
      </c>
      <c r="P11" s="13" t="s">
        <v>329</v>
      </c>
      <c r="Q11" s="41">
        <v>3171.0</v>
      </c>
    </row>
    <row r="12">
      <c r="A12" s="44" t="s">
        <v>332</v>
      </c>
      <c r="B12" s="44" t="s">
        <v>333</v>
      </c>
      <c r="P12" s="13" t="s">
        <v>331</v>
      </c>
      <c r="Q12" s="41">
        <v>2987.0</v>
      </c>
    </row>
    <row r="13">
      <c r="A13" s="11" t="s">
        <v>607</v>
      </c>
      <c r="B13" s="31">
        <v>1601.0</v>
      </c>
      <c r="P13" s="13" t="s">
        <v>334</v>
      </c>
      <c r="Q13" s="41">
        <v>3353.0</v>
      </c>
    </row>
    <row r="14">
      <c r="A14" s="11" t="s">
        <v>608</v>
      </c>
      <c r="B14" s="31">
        <v>981.0</v>
      </c>
      <c r="P14" s="13" t="s">
        <v>336</v>
      </c>
      <c r="Q14" s="41">
        <v>3500.0</v>
      </c>
    </row>
    <row r="15">
      <c r="A15" s="11" t="s">
        <v>339</v>
      </c>
      <c r="B15" s="31">
        <v>99.0</v>
      </c>
      <c r="P15" s="13" t="s">
        <v>338</v>
      </c>
      <c r="Q15" s="41">
        <v>3522.0</v>
      </c>
    </row>
    <row r="16">
      <c r="A16" s="11" t="s">
        <v>341</v>
      </c>
      <c r="B16" s="31">
        <v>161.0</v>
      </c>
      <c r="P16" s="13" t="s">
        <v>340</v>
      </c>
      <c r="Q16" s="41">
        <v>4330.0</v>
      </c>
    </row>
    <row r="17">
      <c r="P17" s="13" t="s">
        <v>342</v>
      </c>
      <c r="Q17" s="41">
        <v>2795.0</v>
      </c>
    </row>
    <row r="18">
      <c r="P18" s="13" t="s">
        <v>343</v>
      </c>
      <c r="Q18" s="41">
        <v>1561.0</v>
      </c>
    </row>
    <row r="19">
      <c r="P19" s="13" t="s">
        <v>464</v>
      </c>
      <c r="Q19" s="41">
        <v>992.0</v>
      </c>
    </row>
    <row r="20">
      <c r="A20" s="28" t="s">
        <v>345</v>
      </c>
    </row>
    <row r="22">
      <c r="A22" s="1" t="s">
        <v>347</v>
      </c>
      <c r="P22" s="43" t="s">
        <v>346</v>
      </c>
    </row>
    <row r="23">
      <c r="A23" s="44" t="s">
        <v>332</v>
      </c>
      <c r="B23" s="44" t="s">
        <v>333</v>
      </c>
      <c r="P23" s="13" t="s">
        <v>348</v>
      </c>
      <c r="Q23" s="41">
        <v>1047.0</v>
      </c>
    </row>
    <row r="24">
      <c r="A24" s="11" t="s">
        <v>606</v>
      </c>
      <c r="B24" s="31">
        <v>677.0</v>
      </c>
      <c r="P24" s="13" t="s">
        <v>349</v>
      </c>
      <c r="Q24" s="41">
        <v>41.0</v>
      </c>
    </row>
    <row r="25">
      <c r="A25" s="11" t="s">
        <v>339</v>
      </c>
      <c r="B25" s="31">
        <v>232.0</v>
      </c>
      <c r="P25" s="13" t="s">
        <v>351</v>
      </c>
      <c r="Q25" s="41">
        <v>0.0</v>
      </c>
    </row>
    <row r="26">
      <c r="A26" s="11" t="s">
        <v>341</v>
      </c>
      <c r="B26" s="31">
        <v>65.0</v>
      </c>
      <c r="P26" s="13" t="s">
        <v>352</v>
      </c>
      <c r="Q26" s="41">
        <v>125.0</v>
      </c>
    </row>
    <row r="27">
      <c r="P27" s="13" t="s">
        <v>353</v>
      </c>
      <c r="Q27" s="41">
        <v>2048.0</v>
      </c>
    </row>
    <row r="28">
      <c r="P28" s="13" t="s">
        <v>354</v>
      </c>
      <c r="Q28" s="41">
        <v>11449.0</v>
      </c>
    </row>
    <row r="29">
      <c r="P29" s="13" t="s">
        <v>355</v>
      </c>
      <c r="Q29" s="41">
        <v>2581.0</v>
      </c>
    </row>
    <row r="30">
      <c r="A30" s="1" t="s">
        <v>357</v>
      </c>
      <c r="P30" s="13" t="s">
        <v>356</v>
      </c>
      <c r="Q30" s="41">
        <v>367.0</v>
      </c>
    </row>
    <row r="31">
      <c r="A31" s="44" t="s">
        <v>332</v>
      </c>
      <c r="B31" s="44" t="s">
        <v>333</v>
      </c>
      <c r="P31" s="13" t="s">
        <v>358</v>
      </c>
      <c r="Q31" s="41">
        <v>277.0</v>
      </c>
    </row>
    <row r="32">
      <c r="A32" s="11" t="s">
        <v>609</v>
      </c>
      <c r="B32" s="31">
        <v>2631.0</v>
      </c>
      <c r="P32" s="13" t="s">
        <v>359</v>
      </c>
      <c r="Q32" s="41">
        <v>1041.0</v>
      </c>
    </row>
    <row r="33">
      <c r="A33" s="11" t="s">
        <v>339</v>
      </c>
      <c r="B33" s="31">
        <v>520.0</v>
      </c>
      <c r="P33" s="13" t="s">
        <v>360</v>
      </c>
      <c r="Q33" s="41">
        <v>0.0</v>
      </c>
    </row>
    <row r="34">
      <c r="A34" s="11" t="s">
        <v>341</v>
      </c>
      <c r="B34" s="31">
        <v>88.0</v>
      </c>
      <c r="P34" s="13" t="s">
        <v>361</v>
      </c>
      <c r="Q34" s="41">
        <v>706.0</v>
      </c>
    </row>
    <row r="35">
      <c r="P35" s="13" t="s">
        <v>363</v>
      </c>
      <c r="Q35" s="41">
        <v>481.0</v>
      </c>
    </row>
    <row r="36">
      <c r="P36" s="13" t="s">
        <v>364</v>
      </c>
      <c r="Q36" s="41">
        <v>2080.0</v>
      </c>
    </row>
    <row r="37">
      <c r="P37" s="13" t="s">
        <v>365</v>
      </c>
      <c r="Q37" s="41">
        <v>122.0</v>
      </c>
    </row>
    <row r="38">
      <c r="P38" s="13" t="s">
        <v>366</v>
      </c>
      <c r="Q38" s="41">
        <v>11.0</v>
      </c>
    </row>
    <row r="39">
      <c r="P39" s="13" t="s">
        <v>367</v>
      </c>
      <c r="Q39" s="41">
        <v>36.0</v>
      </c>
    </row>
    <row r="40">
      <c r="P40" s="13" t="s">
        <v>368</v>
      </c>
      <c r="Q40" s="41">
        <v>1308.0</v>
      </c>
    </row>
    <row r="41">
      <c r="P41" s="13" t="s">
        <v>369</v>
      </c>
      <c r="Q41" s="41">
        <v>66.0</v>
      </c>
    </row>
    <row r="42">
      <c r="P42" s="13" t="s">
        <v>370</v>
      </c>
      <c r="Q42" s="41">
        <v>0.0</v>
      </c>
    </row>
    <row r="45">
      <c r="P45" s="43" t="s">
        <v>372</v>
      </c>
    </row>
    <row r="46">
      <c r="P46" s="13" t="s">
        <v>373</v>
      </c>
      <c r="Q46" s="41">
        <v>0.192</v>
      </c>
    </row>
    <row r="47">
      <c r="P47" s="13" t="s">
        <v>465</v>
      </c>
      <c r="Q47" s="41">
        <v>0.254</v>
      </c>
    </row>
    <row r="48">
      <c r="P48" s="13" t="s">
        <v>466</v>
      </c>
      <c r="Q48" s="41">
        <v>0.132</v>
      </c>
    </row>
    <row r="49">
      <c r="P49" s="13" t="s">
        <v>467</v>
      </c>
      <c r="Q49" s="41">
        <v>0.134</v>
      </c>
    </row>
    <row r="50">
      <c r="P50" s="13" t="s">
        <v>377</v>
      </c>
      <c r="Q50" s="41">
        <v>0.288</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5.13"/>
    <col customWidth="1" min="13" max="13" width="53.13"/>
    <col customWidth="1" min="14" max="14" width="8.25"/>
  </cols>
  <sheetData>
    <row r="1">
      <c r="A1" s="28" t="s">
        <v>327</v>
      </c>
      <c r="N1" s="1" t="s">
        <v>457</v>
      </c>
      <c r="P1" s="28" t="s">
        <v>458</v>
      </c>
    </row>
    <row r="2">
      <c r="N2" s="41">
        <v>1288.2</v>
      </c>
      <c r="P2" s="1" t="s">
        <v>610</v>
      </c>
    </row>
    <row r="3">
      <c r="A3" s="1" t="s">
        <v>380</v>
      </c>
    </row>
    <row r="4">
      <c r="A4" s="44" t="s">
        <v>332</v>
      </c>
      <c r="B4" s="44" t="s">
        <v>333</v>
      </c>
      <c r="P4" s="13" t="s">
        <v>460</v>
      </c>
      <c r="Q4" s="41">
        <v>-2620.8</v>
      </c>
    </row>
    <row r="5">
      <c r="A5" s="11" t="s">
        <v>611</v>
      </c>
      <c r="B5" s="31">
        <v>381.0</v>
      </c>
      <c r="P5" s="13" t="s">
        <v>462</v>
      </c>
      <c r="Q5" s="41">
        <v>332.20000000000005</v>
      </c>
    </row>
    <row r="6">
      <c r="A6" s="11" t="s">
        <v>339</v>
      </c>
      <c r="B6" s="31">
        <v>172.0</v>
      </c>
      <c r="P6" s="13" t="s">
        <v>463</v>
      </c>
      <c r="Q6" s="41">
        <v>-18091.960000000003</v>
      </c>
    </row>
    <row r="7">
      <c r="A7" s="11" t="s">
        <v>341</v>
      </c>
      <c r="B7" s="31">
        <v>63.0</v>
      </c>
    </row>
    <row r="10">
      <c r="P10" s="43" t="s">
        <v>328</v>
      </c>
    </row>
    <row r="11">
      <c r="A11" s="1" t="s">
        <v>330</v>
      </c>
      <c r="P11" s="13" t="s">
        <v>329</v>
      </c>
      <c r="Q11" s="41">
        <v>5403.0</v>
      </c>
    </row>
    <row r="12">
      <c r="A12" s="44" t="s">
        <v>332</v>
      </c>
      <c r="B12" s="44" t="s">
        <v>333</v>
      </c>
      <c r="P12" s="13" t="s">
        <v>331</v>
      </c>
      <c r="Q12" s="41">
        <v>4179.0</v>
      </c>
    </row>
    <row r="13">
      <c r="A13" s="11" t="s">
        <v>612</v>
      </c>
      <c r="B13" s="31">
        <v>757.0</v>
      </c>
      <c r="P13" s="13" t="s">
        <v>334</v>
      </c>
      <c r="Q13" s="41">
        <v>5415.0</v>
      </c>
    </row>
    <row r="14">
      <c r="A14" s="11" t="s">
        <v>613</v>
      </c>
      <c r="B14" s="31">
        <v>708.0</v>
      </c>
      <c r="P14" s="13" t="s">
        <v>336</v>
      </c>
      <c r="Q14" s="41">
        <v>5205.0</v>
      </c>
    </row>
    <row r="15">
      <c r="A15" s="11" t="s">
        <v>339</v>
      </c>
      <c r="B15" s="31">
        <v>130.0</v>
      </c>
      <c r="P15" s="13" t="s">
        <v>338</v>
      </c>
      <c r="Q15" s="41">
        <v>3859.0</v>
      </c>
    </row>
    <row r="16">
      <c r="A16" s="11" t="s">
        <v>341</v>
      </c>
      <c r="B16" s="31">
        <v>163.0</v>
      </c>
      <c r="P16" s="13" t="s">
        <v>340</v>
      </c>
      <c r="Q16" s="41">
        <v>3451.0</v>
      </c>
    </row>
    <row r="17">
      <c r="P17" s="13" t="s">
        <v>342</v>
      </c>
      <c r="Q17" s="41">
        <v>2520.0</v>
      </c>
    </row>
    <row r="18">
      <c r="P18" s="13" t="s">
        <v>343</v>
      </c>
      <c r="Q18" s="41">
        <v>1019.0</v>
      </c>
    </row>
    <row r="19">
      <c r="P19" s="13" t="s">
        <v>464</v>
      </c>
      <c r="Q19" s="41">
        <v>496.0</v>
      </c>
    </row>
    <row r="20">
      <c r="A20" s="28" t="s">
        <v>345</v>
      </c>
    </row>
    <row r="22">
      <c r="A22" s="1" t="s">
        <v>347</v>
      </c>
      <c r="P22" s="43" t="s">
        <v>346</v>
      </c>
    </row>
    <row r="23">
      <c r="A23" s="44" t="s">
        <v>332</v>
      </c>
      <c r="B23" s="44" t="s">
        <v>333</v>
      </c>
      <c r="P23" s="13" t="s">
        <v>348</v>
      </c>
      <c r="Q23" s="41">
        <v>6710.0</v>
      </c>
    </row>
    <row r="24">
      <c r="A24" s="11" t="s">
        <v>611</v>
      </c>
      <c r="B24" s="31">
        <v>470.0</v>
      </c>
      <c r="P24" s="13" t="s">
        <v>349</v>
      </c>
      <c r="Q24" s="41">
        <v>1206.0</v>
      </c>
    </row>
    <row r="25">
      <c r="A25" s="11" t="s">
        <v>339</v>
      </c>
      <c r="B25" s="31">
        <v>184.0</v>
      </c>
      <c r="P25" s="13" t="s">
        <v>351</v>
      </c>
      <c r="Q25" s="41">
        <v>40.0</v>
      </c>
    </row>
    <row r="26">
      <c r="A26" s="11" t="s">
        <v>341</v>
      </c>
      <c r="B26" s="31">
        <v>74.0</v>
      </c>
      <c r="P26" s="13" t="s">
        <v>352</v>
      </c>
      <c r="Q26" s="41">
        <v>0.0</v>
      </c>
    </row>
    <row r="27">
      <c r="P27" s="13" t="s">
        <v>353</v>
      </c>
      <c r="Q27" s="41">
        <v>695.0</v>
      </c>
    </row>
    <row r="28">
      <c r="P28" s="13" t="s">
        <v>354</v>
      </c>
      <c r="Q28" s="41">
        <v>13294.0</v>
      </c>
    </row>
    <row r="29">
      <c r="P29" s="13" t="s">
        <v>355</v>
      </c>
      <c r="Q29" s="41">
        <v>823.0</v>
      </c>
    </row>
    <row r="30">
      <c r="A30" s="1" t="s">
        <v>357</v>
      </c>
      <c r="P30" s="13" t="s">
        <v>356</v>
      </c>
      <c r="Q30" s="41">
        <v>169.0</v>
      </c>
    </row>
    <row r="31">
      <c r="A31" s="44" t="s">
        <v>332</v>
      </c>
      <c r="B31" s="44" t="s">
        <v>333</v>
      </c>
      <c r="P31" s="13" t="s">
        <v>358</v>
      </c>
      <c r="Q31" s="41">
        <v>326.0</v>
      </c>
    </row>
    <row r="32">
      <c r="A32" s="11" t="s">
        <v>614</v>
      </c>
      <c r="B32" s="31">
        <v>990.0</v>
      </c>
      <c r="P32" s="13" t="s">
        <v>359</v>
      </c>
      <c r="Q32" s="41">
        <v>1003.0</v>
      </c>
    </row>
    <row r="33">
      <c r="A33" s="11" t="s">
        <v>615</v>
      </c>
      <c r="B33" s="31">
        <v>744.0</v>
      </c>
      <c r="P33" s="13" t="s">
        <v>360</v>
      </c>
      <c r="Q33" s="41">
        <v>21.0</v>
      </c>
    </row>
    <row r="34">
      <c r="A34" s="11" t="s">
        <v>616</v>
      </c>
      <c r="B34" s="31">
        <v>546.0</v>
      </c>
      <c r="P34" s="13" t="s">
        <v>361</v>
      </c>
      <c r="Q34" s="41">
        <v>956.0</v>
      </c>
    </row>
    <row r="35">
      <c r="A35" s="11" t="s">
        <v>339</v>
      </c>
      <c r="B35" s="31">
        <v>103.0</v>
      </c>
      <c r="P35" s="13" t="s">
        <v>363</v>
      </c>
      <c r="Q35" s="41">
        <v>676.0</v>
      </c>
    </row>
    <row r="36">
      <c r="A36" s="11" t="s">
        <v>341</v>
      </c>
      <c r="B36" s="31">
        <v>153.0</v>
      </c>
      <c r="P36" s="13" t="s">
        <v>364</v>
      </c>
      <c r="Q36" s="41">
        <v>2774.0</v>
      </c>
    </row>
    <row r="37">
      <c r="P37" s="13" t="s">
        <v>365</v>
      </c>
      <c r="Q37" s="41">
        <v>1019.0</v>
      </c>
    </row>
    <row r="38">
      <c r="P38" s="13" t="s">
        <v>366</v>
      </c>
      <c r="Q38" s="41">
        <v>374.0</v>
      </c>
    </row>
    <row r="39">
      <c r="P39" s="13" t="s">
        <v>367</v>
      </c>
      <c r="Q39" s="41">
        <v>161.0</v>
      </c>
    </row>
    <row r="40">
      <c r="P40" s="13" t="s">
        <v>368</v>
      </c>
      <c r="Q40" s="41">
        <v>763.0</v>
      </c>
    </row>
    <row r="41">
      <c r="P41" s="13" t="s">
        <v>369</v>
      </c>
      <c r="Q41" s="41">
        <v>401.0</v>
      </c>
    </row>
    <row r="42">
      <c r="P42" s="13" t="s">
        <v>370</v>
      </c>
      <c r="Q42" s="41">
        <v>0.0</v>
      </c>
    </row>
    <row r="45">
      <c r="P45" s="43" t="s">
        <v>372</v>
      </c>
    </row>
    <row r="46">
      <c r="P46" s="13" t="s">
        <v>373</v>
      </c>
      <c r="Q46" s="41">
        <v>0.27</v>
      </c>
    </row>
    <row r="47">
      <c r="P47" s="13" t="s">
        <v>465</v>
      </c>
      <c r="Q47" s="41">
        <v>0.298</v>
      </c>
    </row>
    <row r="48">
      <c r="P48" s="13" t="s">
        <v>466</v>
      </c>
      <c r="Q48" s="41">
        <v>0.203</v>
      </c>
    </row>
    <row r="49">
      <c r="P49" s="13" t="s">
        <v>467</v>
      </c>
      <c r="Q49" s="41">
        <v>0.106</v>
      </c>
    </row>
    <row r="50">
      <c r="P50" s="13" t="s">
        <v>377</v>
      </c>
      <c r="Q50" s="41">
        <v>0.123</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 customWidth="1" min="16" max="16" width="38.0"/>
  </cols>
  <sheetData>
    <row r="1">
      <c r="A1" s="28" t="s">
        <v>327</v>
      </c>
      <c r="N1" s="1" t="s">
        <v>457</v>
      </c>
      <c r="P1" s="28" t="s">
        <v>458</v>
      </c>
    </row>
    <row r="2">
      <c r="N2" s="41">
        <v>2327.1</v>
      </c>
      <c r="P2" s="1" t="s">
        <v>617</v>
      </c>
    </row>
    <row r="3">
      <c r="A3" s="1" t="s">
        <v>380</v>
      </c>
    </row>
    <row r="4">
      <c r="A4" s="44" t="s">
        <v>332</v>
      </c>
      <c r="B4" s="44" t="s">
        <v>333</v>
      </c>
      <c r="P4" s="13" t="s">
        <v>460</v>
      </c>
      <c r="Q4" s="41">
        <v>-8559.9</v>
      </c>
    </row>
    <row r="5">
      <c r="A5" s="11" t="s">
        <v>618</v>
      </c>
      <c r="B5" s="31">
        <v>579.0</v>
      </c>
      <c r="P5" s="13" t="s">
        <v>462</v>
      </c>
      <c r="Q5" s="41">
        <v>1258.1</v>
      </c>
    </row>
    <row r="6">
      <c r="A6" s="11" t="s">
        <v>339</v>
      </c>
      <c r="B6" s="31">
        <v>335.0</v>
      </c>
      <c r="P6" s="13" t="s">
        <v>463</v>
      </c>
      <c r="Q6" s="41">
        <v>-18697.412000000004</v>
      </c>
    </row>
    <row r="7">
      <c r="A7" s="11" t="s">
        <v>341</v>
      </c>
      <c r="B7" s="31">
        <v>62.0</v>
      </c>
    </row>
    <row r="10">
      <c r="P10" s="43" t="s">
        <v>328</v>
      </c>
    </row>
    <row r="11">
      <c r="A11" s="1" t="s">
        <v>330</v>
      </c>
      <c r="P11" s="13" t="s">
        <v>329</v>
      </c>
      <c r="Q11" s="41">
        <v>4992.0</v>
      </c>
    </row>
    <row r="12">
      <c r="A12" s="44" t="s">
        <v>332</v>
      </c>
      <c r="B12" s="44" t="s">
        <v>333</v>
      </c>
      <c r="P12" s="13" t="s">
        <v>331</v>
      </c>
      <c r="Q12" s="41">
        <v>6609.0</v>
      </c>
    </row>
    <row r="13">
      <c r="A13" s="11" t="s">
        <v>619</v>
      </c>
      <c r="B13" s="31">
        <v>2833.0</v>
      </c>
      <c r="P13" s="13" t="s">
        <v>334</v>
      </c>
      <c r="Q13" s="41">
        <v>7360.0</v>
      </c>
    </row>
    <row r="14">
      <c r="A14" s="11" t="s">
        <v>620</v>
      </c>
      <c r="B14" s="31">
        <v>190.0</v>
      </c>
      <c r="P14" s="13" t="s">
        <v>336</v>
      </c>
      <c r="Q14" s="41">
        <v>5145.0</v>
      </c>
    </row>
    <row r="15">
      <c r="A15" s="11" t="s">
        <v>339</v>
      </c>
      <c r="B15" s="31">
        <v>220.0</v>
      </c>
      <c r="P15" s="13" t="s">
        <v>338</v>
      </c>
      <c r="Q15" s="41">
        <v>4016.0</v>
      </c>
    </row>
    <row r="16">
      <c r="A16" s="11" t="s">
        <v>341</v>
      </c>
      <c r="B16" s="31">
        <v>130.0</v>
      </c>
      <c r="P16" s="13" t="s">
        <v>340</v>
      </c>
      <c r="Q16" s="41">
        <v>3071.0</v>
      </c>
    </row>
    <row r="17">
      <c r="P17" s="13" t="s">
        <v>342</v>
      </c>
      <c r="Q17" s="41">
        <v>2851.0</v>
      </c>
    </row>
    <row r="18">
      <c r="P18" s="13" t="s">
        <v>343</v>
      </c>
      <c r="Q18" s="41">
        <v>1694.0</v>
      </c>
    </row>
    <row r="19">
      <c r="P19" s="13" t="s">
        <v>464</v>
      </c>
      <c r="Q19" s="41">
        <v>649.0</v>
      </c>
    </row>
    <row r="20">
      <c r="A20" s="28" t="s">
        <v>345</v>
      </c>
    </row>
    <row r="22">
      <c r="A22" s="1" t="s">
        <v>357</v>
      </c>
      <c r="P22" s="43" t="s">
        <v>346</v>
      </c>
    </row>
    <row r="23">
      <c r="A23" s="44" t="s">
        <v>332</v>
      </c>
      <c r="B23" s="44" t="s">
        <v>333</v>
      </c>
      <c r="P23" s="13" t="s">
        <v>348</v>
      </c>
      <c r="Q23" s="41">
        <v>10071.0</v>
      </c>
    </row>
    <row r="24">
      <c r="A24" s="11" t="s">
        <v>619</v>
      </c>
      <c r="B24" s="31">
        <v>3671.0</v>
      </c>
      <c r="P24" s="13" t="s">
        <v>349</v>
      </c>
      <c r="Q24" s="41">
        <v>2476.0</v>
      </c>
    </row>
    <row r="25">
      <c r="A25" s="11" t="s">
        <v>339</v>
      </c>
      <c r="B25" s="31">
        <v>625.0</v>
      </c>
      <c r="P25" s="13" t="s">
        <v>351</v>
      </c>
      <c r="Q25" s="41">
        <v>206.0</v>
      </c>
    </row>
    <row r="26">
      <c r="A26" s="11" t="s">
        <v>341</v>
      </c>
      <c r="B26" s="31">
        <v>88.0</v>
      </c>
      <c r="P26" s="13" t="s">
        <v>352</v>
      </c>
      <c r="Q26" s="41">
        <v>82.0</v>
      </c>
    </row>
    <row r="27">
      <c r="P27" s="13" t="s">
        <v>353</v>
      </c>
      <c r="Q27" s="41">
        <v>2960.0</v>
      </c>
    </row>
    <row r="28">
      <c r="P28" s="13" t="s">
        <v>354</v>
      </c>
      <c r="Q28" s="41">
        <v>4577.0</v>
      </c>
    </row>
    <row r="29">
      <c r="A29" s="17">
        <f>(sum(B24:B26)+sum(B5:B7))/2</f>
        <v>2680</v>
      </c>
      <c r="P29" s="13" t="s">
        <v>355</v>
      </c>
      <c r="Q29" s="41">
        <v>3857.0</v>
      </c>
    </row>
    <row r="30">
      <c r="A30" s="17">
        <f>A29+0.15*(A29)</f>
        <v>3082</v>
      </c>
      <c r="P30" s="13" t="s">
        <v>356</v>
      </c>
      <c r="Q30" s="41">
        <v>963.0</v>
      </c>
    </row>
    <row r="31">
      <c r="P31" s="13" t="s">
        <v>358</v>
      </c>
      <c r="Q31" s="41">
        <v>399.0</v>
      </c>
    </row>
    <row r="32">
      <c r="P32" s="13" t="s">
        <v>359</v>
      </c>
      <c r="Q32" s="41">
        <v>1922.0</v>
      </c>
    </row>
    <row r="33">
      <c r="P33" s="13" t="s">
        <v>360</v>
      </c>
      <c r="Q33" s="41">
        <v>17.0</v>
      </c>
    </row>
    <row r="34">
      <c r="P34" s="13" t="s">
        <v>361</v>
      </c>
      <c r="Q34" s="41">
        <v>1069.0</v>
      </c>
    </row>
    <row r="35">
      <c r="P35" s="13" t="s">
        <v>363</v>
      </c>
      <c r="Q35" s="41">
        <v>832.0</v>
      </c>
    </row>
    <row r="36">
      <c r="P36" s="13" t="s">
        <v>364</v>
      </c>
      <c r="Q36" s="41">
        <v>891.0</v>
      </c>
    </row>
    <row r="37">
      <c r="P37" s="13" t="s">
        <v>365</v>
      </c>
      <c r="Q37" s="41">
        <v>938.0</v>
      </c>
    </row>
    <row r="38">
      <c r="P38" s="13" t="s">
        <v>366</v>
      </c>
      <c r="Q38" s="41">
        <v>290.0</v>
      </c>
    </row>
    <row r="39">
      <c r="P39" s="13" t="s">
        <v>367</v>
      </c>
      <c r="Q39" s="41">
        <v>144.0</v>
      </c>
    </row>
    <row r="40">
      <c r="P40" s="13" t="s">
        <v>368</v>
      </c>
      <c r="Q40" s="41">
        <v>1383.0</v>
      </c>
    </row>
    <row r="41">
      <c r="P41" s="13" t="s">
        <v>369</v>
      </c>
      <c r="Q41" s="41">
        <v>1180.0</v>
      </c>
    </row>
    <row r="42">
      <c r="P42" s="13" t="s">
        <v>370</v>
      </c>
      <c r="Q42" s="41">
        <v>118.0</v>
      </c>
    </row>
    <row r="45">
      <c r="P45" s="43" t="s">
        <v>372</v>
      </c>
    </row>
    <row r="46">
      <c r="P46" s="13" t="s">
        <v>373</v>
      </c>
      <c r="Q46" s="41">
        <v>0.224</v>
      </c>
    </row>
    <row r="47">
      <c r="P47" s="13" t="s">
        <v>465</v>
      </c>
      <c r="Q47" s="41">
        <v>0.32</v>
      </c>
    </row>
    <row r="48">
      <c r="P48" s="13" t="s">
        <v>466</v>
      </c>
      <c r="Q48" s="41">
        <v>0.216</v>
      </c>
    </row>
    <row r="49">
      <c r="P49" s="13" t="s">
        <v>467</v>
      </c>
      <c r="Q49" s="41">
        <v>0.117</v>
      </c>
    </row>
    <row r="50">
      <c r="P50" s="13" t="s">
        <v>377</v>
      </c>
      <c r="Q50" s="41">
        <v>0.123</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2561.4</v>
      </c>
      <c r="P2" s="1" t="s">
        <v>621</v>
      </c>
    </row>
    <row r="3">
      <c r="A3" s="1" t="s">
        <v>380</v>
      </c>
    </row>
    <row r="4">
      <c r="A4" s="44" t="s">
        <v>332</v>
      </c>
      <c r="B4" s="44" t="s">
        <v>333</v>
      </c>
      <c r="P4" s="13" t="s">
        <v>460</v>
      </c>
      <c r="Q4" s="41">
        <v>-4826.6</v>
      </c>
    </row>
    <row r="5">
      <c r="A5" s="11" t="s">
        <v>622</v>
      </c>
      <c r="B5" s="31">
        <v>1017.0</v>
      </c>
      <c r="P5" s="13" t="s">
        <v>462</v>
      </c>
      <c r="Q5" s="41">
        <v>1777.4</v>
      </c>
    </row>
    <row r="6">
      <c r="A6" s="11" t="s">
        <v>339</v>
      </c>
      <c r="B6" s="31">
        <v>231.0</v>
      </c>
      <c r="P6" s="13" t="s">
        <v>463</v>
      </c>
      <c r="Q6" s="41">
        <v>-15752.934</v>
      </c>
    </row>
    <row r="7">
      <c r="A7" s="11" t="s">
        <v>341</v>
      </c>
      <c r="B7" s="31">
        <v>130.0</v>
      </c>
    </row>
    <row r="10">
      <c r="P10" s="43" t="s">
        <v>328</v>
      </c>
    </row>
    <row r="11">
      <c r="A11" s="1" t="s">
        <v>330</v>
      </c>
      <c r="P11" s="13" t="s">
        <v>329</v>
      </c>
      <c r="Q11" s="41">
        <v>4627.0</v>
      </c>
    </row>
    <row r="12">
      <c r="A12" s="44" t="s">
        <v>332</v>
      </c>
      <c r="B12" s="44" t="s">
        <v>333</v>
      </c>
      <c r="P12" s="13" t="s">
        <v>331</v>
      </c>
      <c r="Q12" s="41">
        <v>4779.0</v>
      </c>
    </row>
    <row r="13">
      <c r="A13" s="11" t="s">
        <v>623</v>
      </c>
      <c r="B13" s="31">
        <v>2407.0</v>
      </c>
      <c r="P13" s="13" t="s">
        <v>334</v>
      </c>
      <c r="Q13" s="41">
        <v>5512.0</v>
      </c>
    </row>
    <row r="14">
      <c r="A14" s="11" t="s">
        <v>339</v>
      </c>
      <c r="B14" s="31">
        <v>1103.0</v>
      </c>
      <c r="P14" s="13" t="s">
        <v>336</v>
      </c>
      <c r="Q14" s="41">
        <v>4933.0</v>
      </c>
    </row>
    <row r="15">
      <c r="A15" s="11" t="s">
        <v>341</v>
      </c>
      <c r="B15" s="31">
        <v>60.0</v>
      </c>
      <c r="P15" s="13" t="s">
        <v>338</v>
      </c>
      <c r="Q15" s="41">
        <v>3948.0</v>
      </c>
    </row>
    <row r="16">
      <c r="P16" s="13" t="s">
        <v>340</v>
      </c>
      <c r="Q16" s="41">
        <v>3388.0</v>
      </c>
    </row>
    <row r="17">
      <c r="P17" s="13" t="s">
        <v>342</v>
      </c>
      <c r="Q17" s="41">
        <v>2814.0</v>
      </c>
    </row>
    <row r="18">
      <c r="P18" s="13" t="s">
        <v>343</v>
      </c>
      <c r="Q18" s="41">
        <v>1949.0</v>
      </c>
    </row>
    <row r="19">
      <c r="A19" s="28" t="s">
        <v>345</v>
      </c>
      <c r="P19" s="13" t="s">
        <v>464</v>
      </c>
      <c r="Q19" s="41">
        <v>1136.0</v>
      </c>
    </row>
    <row r="21">
      <c r="A21" s="1" t="s">
        <v>347</v>
      </c>
    </row>
    <row r="22">
      <c r="A22" s="44" t="s">
        <v>332</v>
      </c>
      <c r="B22" s="44" t="s">
        <v>333</v>
      </c>
      <c r="P22" s="43" t="s">
        <v>346</v>
      </c>
    </row>
    <row r="23">
      <c r="A23" s="11" t="s">
        <v>624</v>
      </c>
      <c r="B23" s="31">
        <v>1055.0</v>
      </c>
      <c r="P23" s="13" t="s">
        <v>348</v>
      </c>
      <c r="Q23" s="41">
        <v>7596.0</v>
      </c>
    </row>
    <row r="24">
      <c r="A24" s="11" t="s">
        <v>339</v>
      </c>
      <c r="B24" s="31">
        <v>355.0</v>
      </c>
      <c r="P24" s="13" t="s">
        <v>349</v>
      </c>
      <c r="Q24" s="41">
        <v>1424.0</v>
      </c>
    </row>
    <row r="25">
      <c r="A25" s="11" t="s">
        <v>341</v>
      </c>
      <c r="B25" s="31">
        <v>74.0</v>
      </c>
      <c r="P25" s="13" t="s">
        <v>351</v>
      </c>
      <c r="Q25" s="41">
        <v>170.0</v>
      </c>
    </row>
    <row r="26">
      <c r="P26" s="13" t="s">
        <v>352</v>
      </c>
      <c r="Q26" s="41">
        <v>28.0</v>
      </c>
    </row>
    <row r="27">
      <c r="P27" s="13" t="s">
        <v>353</v>
      </c>
      <c r="Q27" s="41">
        <v>1828.0</v>
      </c>
    </row>
    <row r="28">
      <c r="P28" s="13" t="s">
        <v>354</v>
      </c>
      <c r="Q28" s="41">
        <v>5432.0</v>
      </c>
    </row>
    <row r="29">
      <c r="A29" s="1" t="s">
        <v>357</v>
      </c>
      <c r="P29" s="13" t="s">
        <v>355</v>
      </c>
      <c r="Q29" s="41">
        <v>5217.0</v>
      </c>
    </row>
    <row r="30">
      <c r="A30" s="44" t="s">
        <v>332</v>
      </c>
      <c r="B30" s="44" t="s">
        <v>333</v>
      </c>
      <c r="P30" s="13" t="s">
        <v>356</v>
      </c>
      <c r="Q30" s="41">
        <v>746.0</v>
      </c>
    </row>
    <row r="31">
      <c r="A31" s="11" t="s">
        <v>623</v>
      </c>
      <c r="B31" s="31">
        <v>3097.0</v>
      </c>
      <c r="P31" s="13" t="s">
        <v>358</v>
      </c>
      <c r="Q31" s="41">
        <v>567.0</v>
      </c>
    </row>
    <row r="32">
      <c r="A32" s="11" t="s">
        <v>339</v>
      </c>
      <c r="B32" s="31">
        <v>1806.0</v>
      </c>
      <c r="P32" s="13" t="s">
        <v>359</v>
      </c>
      <c r="Q32" s="41">
        <v>2335.0</v>
      </c>
    </row>
    <row r="33">
      <c r="A33" s="11" t="s">
        <v>341</v>
      </c>
      <c r="B33" s="31">
        <v>65.0</v>
      </c>
      <c r="P33" s="13" t="s">
        <v>360</v>
      </c>
      <c r="Q33" s="41">
        <v>159.0</v>
      </c>
    </row>
    <row r="34">
      <c r="P34" s="13" t="s">
        <v>361</v>
      </c>
      <c r="Q34" s="41">
        <v>784.0</v>
      </c>
    </row>
    <row r="35">
      <c r="P35" s="13" t="s">
        <v>363</v>
      </c>
      <c r="Q35" s="41">
        <v>365.0</v>
      </c>
    </row>
    <row r="36">
      <c r="P36" s="13" t="s">
        <v>364</v>
      </c>
      <c r="Q36" s="41">
        <v>440.0</v>
      </c>
    </row>
    <row r="37">
      <c r="P37" s="13" t="s">
        <v>365</v>
      </c>
      <c r="Q37" s="41">
        <v>1036.0</v>
      </c>
    </row>
    <row r="38">
      <c r="P38" s="13" t="s">
        <v>366</v>
      </c>
      <c r="Q38" s="41">
        <v>276.0</v>
      </c>
    </row>
    <row r="39">
      <c r="P39" s="13" t="s">
        <v>367</v>
      </c>
      <c r="Q39" s="41">
        <v>265.0</v>
      </c>
    </row>
    <row r="40">
      <c r="P40" s="13" t="s">
        <v>368</v>
      </c>
      <c r="Q40" s="41">
        <v>1783.0</v>
      </c>
    </row>
    <row r="41">
      <c r="P41" s="13" t="s">
        <v>369</v>
      </c>
      <c r="Q41" s="41">
        <v>681.0</v>
      </c>
    </row>
    <row r="42">
      <c r="P42" s="13" t="s">
        <v>370</v>
      </c>
      <c r="Q42" s="41">
        <v>23.0</v>
      </c>
    </row>
    <row r="45">
      <c r="P45" s="43" t="s">
        <v>372</v>
      </c>
    </row>
    <row r="46">
      <c r="P46" s="13" t="s">
        <v>373</v>
      </c>
      <c r="Q46" s="41">
        <v>0.257</v>
      </c>
    </row>
    <row r="47">
      <c r="P47" s="13" t="s">
        <v>465</v>
      </c>
      <c r="Q47" s="41">
        <v>0.257</v>
      </c>
    </row>
    <row r="48">
      <c r="P48" s="13" t="s">
        <v>466</v>
      </c>
      <c r="Q48" s="41">
        <v>0.202</v>
      </c>
    </row>
    <row r="49">
      <c r="P49" s="13" t="s">
        <v>467</v>
      </c>
      <c r="Q49" s="41">
        <v>0.109</v>
      </c>
    </row>
    <row r="50">
      <c r="P50" s="13" t="s">
        <v>377</v>
      </c>
      <c r="Q50" s="41">
        <v>0.175</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8.25"/>
  </cols>
  <sheetData>
    <row r="1">
      <c r="A1" s="28" t="s">
        <v>327</v>
      </c>
      <c r="N1" s="1" t="s">
        <v>457</v>
      </c>
      <c r="P1" s="28" t="s">
        <v>458</v>
      </c>
    </row>
    <row r="2">
      <c r="N2" s="41">
        <v>4347.599999999999</v>
      </c>
      <c r="P2" s="1" t="s">
        <v>625</v>
      </c>
    </row>
    <row r="3">
      <c r="A3" s="1" t="s">
        <v>330</v>
      </c>
    </row>
    <row r="4">
      <c r="A4" s="44" t="s">
        <v>332</v>
      </c>
      <c r="B4" s="44" t="s">
        <v>333</v>
      </c>
      <c r="P4" s="13" t="s">
        <v>460</v>
      </c>
      <c r="Q4" s="41">
        <v>96.59999999999945</v>
      </c>
    </row>
    <row r="5">
      <c r="A5" s="11" t="s">
        <v>626</v>
      </c>
      <c r="B5" s="31">
        <v>4970.0</v>
      </c>
      <c r="P5" s="13" t="s">
        <v>462</v>
      </c>
      <c r="Q5" s="41">
        <v>3542.5999999999995</v>
      </c>
    </row>
    <row r="6">
      <c r="A6" s="11" t="s">
        <v>339</v>
      </c>
      <c r="B6" s="31">
        <v>1168.0</v>
      </c>
      <c r="P6" s="13" t="s">
        <v>463</v>
      </c>
      <c r="Q6" s="41">
        <v>-6042.625999999999</v>
      </c>
    </row>
    <row r="7">
      <c r="A7" s="11" t="s">
        <v>341</v>
      </c>
      <c r="B7" s="31">
        <v>79.0</v>
      </c>
    </row>
    <row r="10">
      <c r="P10" s="43" t="s">
        <v>328</v>
      </c>
    </row>
    <row r="11">
      <c r="A11" s="28" t="s">
        <v>345</v>
      </c>
      <c r="P11" s="13" t="s">
        <v>329</v>
      </c>
      <c r="Q11" s="41">
        <v>2522.0</v>
      </c>
    </row>
    <row r="12">
      <c r="P12" s="13" t="s">
        <v>331</v>
      </c>
      <c r="Q12" s="41">
        <v>2418.0</v>
      </c>
    </row>
    <row r="13">
      <c r="A13" s="1" t="s">
        <v>357</v>
      </c>
      <c r="P13" s="13" t="s">
        <v>334</v>
      </c>
      <c r="Q13" s="41">
        <v>3477.0</v>
      </c>
    </row>
    <row r="14">
      <c r="A14" s="44" t="s">
        <v>332</v>
      </c>
      <c r="B14" s="44" t="s">
        <v>333</v>
      </c>
      <c r="P14" s="13" t="s">
        <v>336</v>
      </c>
      <c r="Q14" s="41">
        <v>3258.0</v>
      </c>
    </row>
    <row r="15">
      <c r="A15" s="11" t="s">
        <v>626</v>
      </c>
      <c r="B15" s="31">
        <v>4931.0</v>
      </c>
      <c r="P15" s="13" t="s">
        <v>338</v>
      </c>
      <c r="Q15" s="41">
        <v>3538.0</v>
      </c>
    </row>
    <row r="16">
      <c r="A16" s="11" t="s">
        <v>627</v>
      </c>
      <c r="B16" s="31">
        <v>2765.0</v>
      </c>
      <c r="P16" s="13" t="s">
        <v>340</v>
      </c>
      <c r="Q16" s="41">
        <v>3730.0</v>
      </c>
    </row>
    <row r="17">
      <c r="A17" s="11" t="s">
        <v>339</v>
      </c>
      <c r="B17" s="31">
        <v>454.0</v>
      </c>
      <c r="P17" s="13" t="s">
        <v>342</v>
      </c>
      <c r="Q17" s="41">
        <v>4333.0</v>
      </c>
    </row>
    <row r="18">
      <c r="A18" s="11" t="s">
        <v>341</v>
      </c>
      <c r="B18" s="31">
        <v>125.0</v>
      </c>
      <c r="P18" s="13" t="s">
        <v>343</v>
      </c>
      <c r="Q18" s="41">
        <v>2114.0</v>
      </c>
    </row>
    <row r="19">
      <c r="P19" s="13" t="s">
        <v>464</v>
      </c>
      <c r="Q19" s="41">
        <v>1323.0</v>
      </c>
    </row>
    <row r="22">
      <c r="P22" s="43" t="s">
        <v>346</v>
      </c>
    </row>
    <row r="23">
      <c r="P23" s="13" t="s">
        <v>348</v>
      </c>
      <c r="Q23" s="41">
        <v>3108.0</v>
      </c>
    </row>
    <row r="24">
      <c r="P24" s="13" t="s">
        <v>349</v>
      </c>
      <c r="Q24" s="41">
        <v>505.0</v>
      </c>
    </row>
    <row r="25">
      <c r="P25" s="13" t="s">
        <v>351</v>
      </c>
      <c r="Q25" s="41">
        <v>33.0</v>
      </c>
    </row>
    <row r="26">
      <c r="P26" s="13" t="s">
        <v>352</v>
      </c>
      <c r="Q26" s="41">
        <v>7.0</v>
      </c>
    </row>
    <row r="27">
      <c r="P27" s="13" t="s">
        <v>353</v>
      </c>
      <c r="Q27" s="41">
        <v>1502.0</v>
      </c>
    </row>
    <row r="28">
      <c r="P28" s="13" t="s">
        <v>354</v>
      </c>
      <c r="Q28" s="41">
        <v>3302.0</v>
      </c>
    </row>
    <row r="29">
      <c r="P29" s="13" t="s">
        <v>355</v>
      </c>
      <c r="Q29" s="41">
        <v>8089.0</v>
      </c>
    </row>
    <row r="30">
      <c r="P30" s="13" t="s">
        <v>356</v>
      </c>
      <c r="Q30" s="41">
        <v>443.0</v>
      </c>
    </row>
    <row r="31">
      <c r="P31" s="13" t="s">
        <v>358</v>
      </c>
      <c r="Q31" s="41">
        <v>96.0</v>
      </c>
    </row>
    <row r="32">
      <c r="P32" s="13" t="s">
        <v>359</v>
      </c>
      <c r="Q32" s="41">
        <v>2861.0</v>
      </c>
    </row>
    <row r="33">
      <c r="P33" s="13" t="s">
        <v>360</v>
      </c>
      <c r="Q33" s="41">
        <v>27.0</v>
      </c>
    </row>
    <row r="34">
      <c r="P34" s="13" t="s">
        <v>361</v>
      </c>
      <c r="Q34" s="41">
        <v>805.0</v>
      </c>
    </row>
    <row r="35">
      <c r="P35" s="13" t="s">
        <v>363</v>
      </c>
      <c r="Q35" s="41">
        <v>50.0</v>
      </c>
    </row>
    <row r="36">
      <c r="P36" s="13" t="s">
        <v>364</v>
      </c>
      <c r="Q36" s="41">
        <v>131.0</v>
      </c>
    </row>
    <row r="37">
      <c r="P37" s="13" t="s">
        <v>365</v>
      </c>
      <c r="Q37" s="41">
        <v>133.0</v>
      </c>
    </row>
    <row r="38">
      <c r="P38" s="13" t="s">
        <v>366</v>
      </c>
      <c r="Q38" s="41">
        <v>111.0</v>
      </c>
    </row>
    <row r="39">
      <c r="P39" s="13" t="s">
        <v>367</v>
      </c>
      <c r="Q39" s="41">
        <v>44.0</v>
      </c>
    </row>
    <row r="40">
      <c r="P40" s="13" t="s">
        <v>368</v>
      </c>
      <c r="Q40" s="41">
        <v>1765.0</v>
      </c>
    </row>
    <row r="41">
      <c r="P41" s="13" t="s">
        <v>369</v>
      </c>
      <c r="Q41" s="41">
        <v>96.0</v>
      </c>
    </row>
    <row r="42">
      <c r="P42" s="13" t="s">
        <v>370</v>
      </c>
      <c r="Q42" s="41">
        <v>0.0</v>
      </c>
    </row>
    <row r="45">
      <c r="P45" s="43" t="s">
        <v>372</v>
      </c>
    </row>
    <row r="46">
      <c r="P46" s="13" t="s">
        <v>373</v>
      </c>
      <c r="Q46" s="41">
        <v>0.15999999999999998</v>
      </c>
    </row>
    <row r="47">
      <c r="P47" s="13" t="s">
        <v>465</v>
      </c>
      <c r="Q47" s="41">
        <v>0.211</v>
      </c>
    </row>
    <row r="48">
      <c r="P48" s="13" t="s">
        <v>466</v>
      </c>
      <c r="Q48" s="41">
        <v>0.23</v>
      </c>
    </row>
    <row r="49">
      <c r="P49" s="13" t="s">
        <v>467</v>
      </c>
      <c r="Q49" s="41">
        <v>0.137</v>
      </c>
    </row>
    <row r="50">
      <c r="P50" s="13" t="s">
        <v>377</v>
      </c>
      <c r="Q50" s="41">
        <v>0.263</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3347.4</v>
      </c>
      <c r="P2" s="1" t="s">
        <v>628</v>
      </c>
    </row>
    <row r="3">
      <c r="A3" s="1" t="s">
        <v>380</v>
      </c>
    </row>
    <row r="4">
      <c r="A4" s="44" t="s">
        <v>332</v>
      </c>
      <c r="B4" s="44" t="s">
        <v>333</v>
      </c>
      <c r="P4" s="13" t="s">
        <v>460</v>
      </c>
      <c r="Q4" s="41">
        <v>-862.5999999999999</v>
      </c>
    </row>
    <row r="5">
      <c r="A5" s="11" t="s">
        <v>629</v>
      </c>
      <c r="B5" s="31">
        <v>815.0</v>
      </c>
      <c r="P5" s="13" t="s">
        <v>462</v>
      </c>
      <c r="Q5" s="41">
        <v>2762.4</v>
      </c>
    </row>
    <row r="6">
      <c r="A6" s="11" t="s">
        <v>339</v>
      </c>
      <c r="B6" s="31">
        <v>383.0</v>
      </c>
      <c r="P6" s="13" t="s">
        <v>463</v>
      </c>
      <c r="Q6" s="41">
        <v>-10431.875000000002</v>
      </c>
    </row>
    <row r="7">
      <c r="A7" s="11" t="s">
        <v>341</v>
      </c>
      <c r="B7" s="31">
        <v>50.0</v>
      </c>
    </row>
    <row r="10">
      <c r="P10" s="43" t="s">
        <v>328</v>
      </c>
    </row>
    <row r="11">
      <c r="A11" s="1" t="s">
        <v>330</v>
      </c>
      <c r="P11" s="13" t="s">
        <v>329</v>
      </c>
      <c r="Q11" s="41">
        <v>3192.0</v>
      </c>
    </row>
    <row r="12">
      <c r="A12" s="44" t="s">
        <v>332</v>
      </c>
      <c r="B12" s="44" t="s">
        <v>333</v>
      </c>
      <c r="P12" s="13" t="s">
        <v>331</v>
      </c>
      <c r="Q12" s="41">
        <v>3274.0</v>
      </c>
    </row>
    <row r="13">
      <c r="A13" s="11" t="s">
        <v>630</v>
      </c>
      <c r="B13" s="31">
        <v>3931.0</v>
      </c>
      <c r="P13" s="13" t="s">
        <v>334</v>
      </c>
      <c r="Q13" s="41">
        <v>3545.0</v>
      </c>
    </row>
    <row r="14">
      <c r="A14" s="11" t="s">
        <v>339</v>
      </c>
      <c r="B14" s="31">
        <v>679.0</v>
      </c>
      <c r="P14" s="13" t="s">
        <v>336</v>
      </c>
      <c r="Q14" s="41">
        <v>3632.0</v>
      </c>
    </row>
    <row r="15">
      <c r="A15" s="11" t="s">
        <v>341</v>
      </c>
      <c r="B15" s="31">
        <v>90.0</v>
      </c>
      <c r="P15" s="13" t="s">
        <v>338</v>
      </c>
      <c r="Q15" s="41">
        <v>3552.0</v>
      </c>
    </row>
    <row r="16">
      <c r="P16" s="13" t="s">
        <v>340</v>
      </c>
      <c r="Q16" s="41">
        <v>3498.0</v>
      </c>
    </row>
    <row r="17">
      <c r="P17" s="13" t="s">
        <v>342</v>
      </c>
      <c r="Q17" s="41">
        <v>3519.0</v>
      </c>
    </row>
    <row r="18">
      <c r="P18" s="13" t="s">
        <v>343</v>
      </c>
      <c r="Q18" s="41">
        <v>2211.0</v>
      </c>
    </row>
    <row r="19">
      <c r="A19" s="28" t="s">
        <v>345</v>
      </c>
      <c r="P19" s="13" t="s">
        <v>464</v>
      </c>
      <c r="Q19" s="41">
        <v>1378.0</v>
      </c>
    </row>
    <row r="21">
      <c r="A21" s="1" t="s">
        <v>347</v>
      </c>
    </row>
    <row r="22">
      <c r="A22" s="44" t="s">
        <v>332</v>
      </c>
      <c r="B22" s="44" t="s">
        <v>333</v>
      </c>
      <c r="P22" s="43" t="s">
        <v>346</v>
      </c>
    </row>
    <row r="23">
      <c r="A23" s="11" t="s">
        <v>631</v>
      </c>
      <c r="B23" s="31">
        <v>1088.0</v>
      </c>
      <c r="P23" s="13" t="s">
        <v>348</v>
      </c>
      <c r="Q23" s="41">
        <v>2794.0</v>
      </c>
    </row>
    <row r="24">
      <c r="A24" s="11" t="s">
        <v>339</v>
      </c>
      <c r="B24" s="31">
        <v>523.0</v>
      </c>
      <c r="P24" s="13" t="s">
        <v>349</v>
      </c>
      <c r="Q24" s="41">
        <v>560.0</v>
      </c>
    </row>
    <row r="25">
      <c r="A25" s="11" t="s">
        <v>341</v>
      </c>
      <c r="B25" s="31">
        <v>54.0</v>
      </c>
      <c r="P25" s="13" t="s">
        <v>351</v>
      </c>
      <c r="Q25" s="41">
        <v>42.0</v>
      </c>
    </row>
    <row r="26">
      <c r="P26" s="13" t="s">
        <v>352</v>
      </c>
      <c r="Q26" s="41">
        <v>11.0</v>
      </c>
    </row>
    <row r="27">
      <c r="P27" s="13" t="s">
        <v>353</v>
      </c>
      <c r="Q27" s="41">
        <v>903.0</v>
      </c>
    </row>
    <row r="28">
      <c r="P28" s="13" t="s">
        <v>354</v>
      </c>
      <c r="Q28" s="41">
        <v>4937.0</v>
      </c>
    </row>
    <row r="29">
      <c r="A29" s="1" t="s">
        <v>357</v>
      </c>
      <c r="P29" s="13" t="s">
        <v>355</v>
      </c>
      <c r="Q29" s="41">
        <v>6707.0</v>
      </c>
    </row>
    <row r="30">
      <c r="A30" s="44" t="s">
        <v>332</v>
      </c>
      <c r="B30" s="44" t="s">
        <v>333</v>
      </c>
      <c r="P30" s="13" t="s">
        <v>356</v>
      </c>
      <c r="Q30" s="41">
        <v>217.0</v>
      </c>
    </row>
    <row r="31">
      <c r="A31" s="11" t="s">
        <v>630</v>
      </c>
      <c r="B31" s="31">
        <v>3998.0</v>
      </c>
      <c r="P31" s="13" t="s">
        <v>358</v>
      </c>
      <c r="Q31" s="41">
        <v>172.0</v>
      </c>
    </row>
    <row r="32">
      <c r="A32" s="11" t="s">
        <v>632</v>
      </c>
      <c r="B32" s="31">
        <v>2018.0</v>
      </c>
      <c r="P32" s="13" t="s">
        <v>359</v>
      </c>
      <c r="Q32" s="41">
        <v>1767.0</v>
      </c>
    </row>
    <row r="33">
      <c r="A33" s="11" t="s">
        <v>339</v>
      </c>
      <c r="B33" s="31">
        <v>345.0</v>
      </c>
      <c r="P33" s="13" t="s">
        <v>360</v>
      </c>
      <c r="Q33" s="41">
        <v>5.0</v>
      </c>
    </row>
    <row r="34">
      <c r="A34" s="11" t="s">
        <v>341</v>
      </c>
      <c r="B34" s="31">
        <v>97.0</v>
      </c>
      <c r="P34" s="13" t="s">
        <v>361</v>
      </c>
      <c r="Q34" s="41">
        <v>585.0</v>
      </c>
    </row>
    <row r="35">
      <c r="P35" s="13" t="s">
        <v>363</v>
      </c>
      <c r="Q35" s="41">
        <v>562.0</v>
      </c>
    </row>
    <row r="36">
      <c r="P36" s="13" t="s">
        <v>364</v>
      </c>
      <c r="Q36" s="41">
        <v>1519.0</v>
      </c>
    </row>
    <row r="37">
      <c r="P37" s="13" t="s">
        <v>365</v>
      </c>
      <c r="Q37" s="41">
        <v>690.0</v>
      </c>
    </row>
    <row r="38">
      <c r="P38" s="13" t="s">
        <v>366</v>
      </c>
      <c r="Q38" s="41">
        <v>116.0</v>
      </c>
    </row>
    <row r="39">
      <c r="P39" s="13" t="s">
        <v>367</v>
      </c>
      <c r="Q39" s="41">
        <v>122.0</v>
      </c>
    </row>
    <row r="40">
      <c r="P40" s="13" t="s">
        <v>368</v>
      </c>
      <c r="Q40" s="41">
        <v>1821.0</v>
      </c>
    </row>
    <row r="41">
      <c r="P41" s="13" t="s">
        <v>369</v>
      </c>
      <c r="Q41" s="41">
        <v>209.0</v>
      </c>
    </row>
    <row r="42">
      <c r="P42" s="13" t="s">
        <v>370</v>
      </c>
      <c r="Q42" s="41">
        <v>8.0</v>
      </c>
    </row>
    <row r="45">
      <c r="P45" s="43" t="s">
        <v>372</v>
      </c>
    </row>
    <row r="46">
      <c r="P46" s="13" t="s">
        <v>373</v>
      </c>
      <c r="Q46" s="41">
        <v>0.20800000000000002</v>
      </c>
    </row>
    <row r="47">
      <c r="P47" s="13" t="s">
        <v>465</v>
      </c>
      <c r="Q47" s="41">
        <v>0.267</v>
      </c>
    </row>
    <row r="48">
      <c r="P48" s="13" t="s">
        <v>466</v>
      </c>
      <c r="Q48" s="41">
        <v>0.219</v>
      </c>
    </row>
    <row r="49">
      <c r="P49" s="13" t="s">
        <v>467</v>
      </c>
      <c r="Q49" s="41">
        <v>0.123</v>
      </c>
    </row>
    <row r="50">
      <c r="P50" s="13" t="s">
        <v>377</v>
      </c>
      <c r="Q50" s="41">
        <v>0.183</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3"/>
    <col customWidth="1" min="13" max="13" width="53.13"/>
    <col customWidth="1" min="14" max="14" width="8.25"/>
  </cols>
  <sheetData>
    <row r="1">
      <c r="A1" s="28" t="s">
        <v>327</v>
      </c>
      <c r="N1" s="1" t="s">
        <v>457</v>
      </c>
      <c r="P1" s="28" t="s">
        <v>458</v>
      </c>
    </row>
    <row r="2">
      <c r="N2" s="41">
        <v>2429.7</v>
      </c>
      <c r="P2" s="1" t="s">
        <v>633</v>
      </c>
    </row>
    <row r="3">
      <c r="A3" s="1" t="s">
        <v>330</v>
      </c>
    </row>
    <row r="4">
      <c r="A4" s="44" t="s">
        <v>332</v>
      </c>
      <c r="B4" s="44" t="s">
        <v>333</v>
      </c>
      <c r="P4" s="13" t="s">
        <v>460</v>
      </c>
      <c r="Q4" s="41">
        <v>-1254.3000000000002</v>
      </c>
    </row>
    <row r="5">
      <c r="A5" s="11" t="s">
        <v>634</v>
      </c>
      <c r="B5" s="31">
        <v>2352.0</v>
      </c>
      <c r="P5" s="13" t="s">
        <v>462</v>
      </c>
      <c r="Q5" s="41">
        <v>1700.6999999999998</v>
      </c>
    </row>
    <row r="6">
      <c r="A6" s="11" t="s">
        <v>635</v>
      </c>
      <c r="B6" s="31">
        <v>584.0</v>
      </c>
      <c r="P6" s="13" t="s">
        <v>463</v>
      </c>
      <c r="Q6" s="41">
        <v>-9775.118999999999</v>
      </c>
    </row>
    <row r="7">
      <c r="A7" s="11" t="s">
        <v>636</v>
      </c>
      <c r="B7" s="31">
        <v>157.0</v>
      </c>
    </row>
    <row r="8">
      <c r="A8" s="11" t="s">
        <v>339</v>
      </c>
      <c r="B8" s="31">
        <v>261.0</v>
      </c>
    </row>
    <row r="9">
      <c r="A9" s="11" t="s">
        <v>341</v>
      </c>
      <c r="B9" s="31">
        <v>158.0</v>
      </c>
    </row>
    <row r="10">
      <c r="P10" s="43" t="s">
        <v>328</v>
      </c>
    </row>
    <row r="11">
      <c r="P11" s="13" t="s">
        <v>329</v>
      </c>
      <c r="Q11" s="41">
        <v>2622.0</v>
      </c>
    </row>
    <row r="12">
      <c r="P12" s="13" t="s">
        <v>331</v>
      </c>
      <c r="Q12" s="41">
        <v>3094.0</v>
      </c>
    </row>
    <row r="13">
      <c r="A13" s="28" t="s">
        <v>345</v>
      </c>
      <c r="P13" s="13" t="s">
        <v>334</v>
      </c>
      <c r="Q13" s="41">
        <v>3557.0</v>
      </c>
    </row>
    <row r="14">
      <c r="P14" s="13" t="s">
        <v>336</v>
      </c>
      <c r="Q14" s="41">
        <v>3166.0</v>
      </c>
    </row>
    <row r="15">
      <c r="A15" s="1" t="s">
        <v>347</v>
      </c>
      <c r="P15" s="13" t="s">
        <v>338</v>
      </c>
      <c r="Q15" s="41">
        <v>3107.0</v>
      </c>
    </row>
    <row r="16">
      <c r="A16" s="44" t="s">
        <v>332</v>
      </c>
      <c r="B16" s="44" t="s">
        <v>333</v>
      </c>
      <c r="P16" s="13" t="s">
        <v>340</v>
      </c>
      <c r="Q16" s="41">
        <v>3193.0</v>
      </c>
    </row>
    <row r="17">
      <c r="A17" s="11" t="s">
        <v>637</v>
      </c>
      <c r="B17" s="31">
        <v>975.0</v>
      </c>
      <c r="P17" s="13" t="s">
        <v>342</v>
      </c>
      <c r="Q17" s="41">
        <v>2614.0</v>
      </c>
    </row>
    <row r="18">
      <c r="A18" s="11" t="s">
        <v>339</v>
      </c>
      <c r="B18" s="31">
        <v>400.0</v>
      </c>
      <c r="P18" s="13" t="s">
        <v>343</v>
      </c>
      <c r="Q18" s="41">
        <v>2087.0</v>
      </c>
    </row>
    <row r="19">
      <c r="A19" s="11" t="s">
        <v>341</v>
      </c>
      <c r="B19" s="31">
        <v>85.0</v>
      </c>
      <c r="P19" s="13" t="s">
        <v>464</v>
      </c>
      <c r="Q19" s="41">
        <v>995.0</v>
      </c>
    </row>
    <row r="22">
      <c r="P22" s="43" t="s">
        <v>346</v>
      </c>
    </row>
    <row r="23">
      <c r="A23" s="1" t="s">
        <v>357</v>
      </c>
      <c r="P23" s="13" t="s">
        <v>348</v>
      </c>
      <c r="Q23" s="41">
        <v>2090.0</v>
      </c>
    </row>
    <row r="24">
      <c r="A24" s="44" t="s">
        <v>332</v>
      </c>
      <c r="B24" s="44" t="s">
        <v>333</v>
      </c>
      <c r="P24" s="13" t="s">
        <v>349</v>
      </c>
      <c r="Q24" s="41">
        <v>184.0</v>
      </c>
    </row>
    <row r="25">
      <c r="A25" s="11" t="s">
        <v>634</v>
      </c>
      <c r="B25" s="31">
        <v>1175.0</v>
      </c>
      <c r="P25" s="13" t="s">
        <v>351</v>
      </c>
      <c r="Q25" s="41">
        <v>53.0</v>
      </c>
    </row>
    <row r="26">
      <c r="A26" s="11" t="s">
        <v>638</v>
      </c>
      <c r="B26" s="31">
        <v>1167.0</v>
      </c>
      <c r="P26" s="13" t="s">
        <v>352</v>
      </c>
      <c r="Q26" s="41">
        <v>14.0</v>
      </c>
    </row>
    <row r="27">
      <c r="A27" s="11" t="s">
        <v>639</v>
      </c>
      <c r="B27" s="31">
        <v>841.0</v>
      </c>
      <c r="P27" s="13" t="s">
        <v>353</v>
      </c>
      <c r="Q27" s="41">
        <v>819.0</v>
      </c>
    </row>
    <row r="28">
      <c r="A28" s="11" t="s">
        <v>640</v>
      </c>
      <c r="B28" s="31">
        <v>822.0</v>
      </c>
      <c r="P28" s="13" t="s">
        <v>354</v>
      </c>
      <c r="Q28" s="41">
        <v>8891.0</v>
      </c>
    </row>
    <row r="29">
      <c r="A29" s="11" t="s">
        <v>339</v>
      </c>
      <c r="B29" s="31">
        <v>459.0</v>
      </c>
      <c r="P29" s="13" t="s">
        <v>355</v>
      </c>
      <c r="Q29" s="41">
        <v>3819.0</v>
      </c>
    </row>
    <row r="30">
      <c r="A30" s="11" t="s">
        <v>341</v>
      </c>
      <c r="B30" s="31">
        <v>123.0</v>
      </c>
      <c r="P30" s="13" t="s">
        <v>356</v>
      </c>
      <c r="Q30" s="41">
        <v>212.0</v>
      </c>
    </row>
    <row r="31">
      <c r="P31" s="13" t="s">
        <v>358</v>
      </c>
      <c r="Q31" s="41">
        <v>291.0</v>
      </c>
    </row>
    <row r="32">
      <c r="P32" s="13" t="s">
        <v>359</v>
      </c>
      <c r="Q32" s="41">
        <v>2034.0</v>
      </c>
    </row>
    <row r="33">
      <c r="P33" s="13" t="s">
        <v>360</v>
      </c>
      <c r="Q33" s="41">
        <v>0.0</v>
      </c>
    </row>
    <row r="34">
      <c r="P34" s="13" t="s">
        <v>361</v>
      </c>
      <c r="Q34" s="41">
        <v>729.0</v>
      </c>
    </row>
    <row r="35">
      <c r="P35" s="13" t="s">
        <v>363</v>
      </c>
      <c r="Q35" s="41">
        <v>549.0</v>
      </c>
    </row>
    <row r="36">
      <c r="P36" s="13" t="s">
        <v>364</v>
      </c>
      <c r="Q36" s="41">
        <v>308.0</v>
      </c>
    </row>
    <row r="37">
      <c r="P37" s="13" t="s">
        <v>365</v>
      </c>
      <c r="Q37" s="41">
        <v>251.0</v>
      </c>
    </row>
    <row r="38">
      <c r="P38" s="13" t="s">
        <v>366</v>
      </c>
      <c r="Q38" s="41">
        <v>141.0</v>
      </c>
    </row>
    <row r="39">
      <c r="P39" s="13" t="s">
        <v>367</v>
      </c>
      <c r="Q39" s="41">
        <v>96.0</v>
      </c>
    </row>
    <row r="40">
      <c r="P40" s="13" t="s">
        <v>368</v>
      </c>
      <c r="Q40" s="41">
        <v>1056.0</v>
      </c>
    </row>
    <row r="41">
      <c r="P41" s="13" t="s">
        <v>369</v>
      </c>
      <c r="Q41" s="41">
        <v>141.0</v>
      </c>
    </row>
    <row r="42">
      <c r="P42" s="13" t="s">
        <v>370</v>
      </c>
      <c r="Q42" s="41">
        <v>7.0</v>
      </c>
    </row>
    <row r="45">
      <c r="P45" s="43" t="s">
        <v>372</v>
      </c>
    </row>
    <row r="46">
      <c r="P46" s="13" t="s">
        <v>373</v>
      </c>
      <c r="Q46" s="41">
        <v>0.20700000000000002</v>
      </c>
    </row>
    <row r="47">
      <c r="P47" s="13" t="s">
        <v>465</v>
      </c>
      <c r="Q47" s="41">
        <v>0.266</v>
      </c>
    </row>
    <row r="48">
      <c r="P48" s="13" t="s">
        <v>466</v>
      </c>
      <c r="Q48" s="41">
        <v>0.208</v>
      </c>
    </row>
    <row r="49">
      <c r="P49" s="13" t="s">
        <v>467</v>
      </c>
      <c r="Q49" s="41">
        <v>0.143</v>
      </c>
    </row>
    <row r="50">
      <c r="P50" s="13" t="s">
        <v>377</v>
      </c>
      <c r="Q50" s="41">
        <v>0.177</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5.13"/>
    <col customWidth="1" min="13" max="13" width="53.13"/>
    <col customWidth="1" min="14" max="14" width="9.13"/>
  </cols>
  <sheetData>
    <row r="1">
      <c r="A1" s="28" t="s">
        <v>327</v>
      </c>
      <c r="N1" s="1" t="s">
        <v>457</v>
      </c>
      <c r="P1" s="28" t="s">
        <v>458</v>
      </c>
    </row>
    <row r="2">
      <c r="N2" s="41">
        <v>1401.3</v>
      </c>
      <c r="P2" s="1" t="s">
        <v>641</v>
      </c>
    </row>
    <row r="3">
      <c r="A3" s="1" t="s">
        <v>330</v>
      </c>
    </row>
    <row r="4">
      <c r="A4" s="44" t="s">
        <v>332</v>
      </c>
      <c r="B4" s="44" t="s">
        <v>333</v>
      </c>
      <c r="P4" s="13" t="s">
        <v>460</v>
      </c>
      <c r="Q4" s="41">
        <v>-931.7</v>
      </c>
    </row>
    <row r="5">
      <c r="A5" s="11" t="s">
        <v>642</v>
      </c>
      <c r="B5" s="31">
        <v>1482.0</v>
      </c>
      <c r="P5" s="13" t="s">
        <v>462</v>
      </c>
      <c r="Q5" s="41">
        <v>696.3</v>
      </c>
    </row>
    <row r="6">
      <c r="A6" s="11" t="s">
        <v>339</v>
      </c>
      <c r="B6" s="31">
        <v>300.0</v>
      </c>
      <c r="P6" s="13" t="s">
        <v>463</v>
      </c>
      <c r="Q6" s="41">
        <v>-11287.832</v>
      </c>
    </row>
    <row r="7">
      <c r="A7" s="11" t="s">
        <v>341</v>
      </c>
      <c r="B7" s="31">
        <v>120.0</v>
      </c>
    </row>
    <row r="10">
      <c r="P10" s="43" t="s">
        <v>328</v>
      </c>
    </row>
    <row r="11">
      <c r="A11" s="28" t="s">
        <v>345</v>
      </c>
      <c r="P11" s="13" t="s">
        <v>329</v>
      </c>
      <c r="Q11" s="41">
        <v>3001.0</v>
      </c>
    </row>
    <row r="12">
      <c r="P12" s="13" t="s">
        <v>331</v>
      </c>
      <c r="Q12" s="41">
        <v>3169.0</v>
      </c>
    </row>
    <row r="13">
      <c r="A13" s="1" t="s">
        <v>347</v>
      </c>
      <c r="P13" s="13" t="s">
        <v>334</v>
      </c>
      <c r="Q13" s="41">
        <v>3747.0</v>
      </c>
    </row>
    <row r="14">
      <c r="A14" s="44" t="s">
        <v>332</v>
      </c>
      <c r="B14" s="44" t="s">
        <v>333</v>
      </c>
      <c r="P14" s="13" t="s">
        <v>336</v>
      </c>
      <c r="Q14" s="41">
        <v>2807.0</v>
      </c>
    </row>
    <row r="15">
      <c r="A15" s="11" t="s">
        <v>643</v>
      </c>
      <c r="B15" s="31">
        <v>499.0</v>
      </c>
      <c r="P15" s="13" t="s">
        <v>338</v>
      </c>
      <c r="Q15" s="41">
        <v>3202.0</v>
      </c>
    </row>
    <row r="16">
      <c r="A16" s="11" t="s">
        <v>339</v>
      </c>
      <c r="B16" s="31">
        <v>184.0</v>
      </c>
      <c r="P16" s="13" t="s">
        <v>340</v>
      </c>
      <c r="Q16" s="41">
        <v>3139.0</v>
      </c>
    </row>
    <row r="17">
      <c r="A17" s="11" t="s">
        <v>341</v>
      </c>
      <c r="B17" s="31">
        <v>66.0</v>
      </c>
      <c r="P17" s="13" t="s">
        <v>342</v>
      </c>
      <c r="Q17" s="41">
        <v>2601.0</v>
      </c>
    </row>
    <row r="18">
      <c r="P18" s="13" t="s">
        <v>343</v>
      </c>
      <c r="Q18" s="41">
        <v>1859.0</v>
      </c>
    </row>
    <row r="19">
      <c r="P19" s="13" t="s">
        <v>464</v>
      </c>
      <c r="Q19" s="41">
        <v>1055.0</v>
      </c>
    </row>
    <row r="21">
      <c r="A21" s="1" t="s">
        <v>357</v>
      </c>
    </row>
    <row r="22">
      <c r="A22" s="44" t="s">
        <v>332</v>
      </c>
      <c r="B22" s="44" t="s">
        <v>333</v>
      </c>
      <c r="P22" s="43" t="s">
        <v>346</v>
      </c>
    </row>
    <row r="23">
      <c r="A23" s="11" t="s">
        <v>644</v>
      </c>
      <c r="B23" s="31">
        <v>1840.0</v>
      </c>
      <c r="P23" s="13" t="s">
        <v>348</v>
      </c>
      <c r="Q23" s="41">
        <v>740.0</v>
      </c>
    </row>
    <row r="24">
      <c r="A24" s="11" t="s">
        <v>645</v>
      </c>
      <c r="B24" s="31">
        <v>620.0</v>
      </c>
      <c r="P24" s="13" t="s">
        <v>349</v>
      </c>
      <c r="Q24" s="41">
        <v>19.0</v>
      </c>
    </row>
    <row r="25">
      <c r="A25" s="11" t="s">
        <v>339</v>
      </c>
      <c r="B25" s="31">
        <v>196.0</v>
      </c>
      <c r="P25" s="13" t="s">
        <v>351</v>
      </c>
      <c r="Q25" s="41">
        <v>20.0</v>
      </c>
    </row>
    <row r="26">
      <c r="A26" s="11" t="s">
        <v>341</v>
      </c>
      <c r="B26" s="31">
        <v>113.0</v>
      </c>
      <c r="P26" s="13" t="s">
        <v>352</v>
      </c>
      <c r="Q26" s="41">
        <v>58.0</v>
      </c>
    </row>
    <row r="27">
      <c r="P27" s="13" t="s">
        <v>353</v>
      </c>
      <c r="Q27" s="41">
        <v>212.0</v>
      </c>
    </row>
    <row r="28">
      <c r="P28" s="13" t="s">
        <v>354</v>
      </c>
      <c r="Q28" s="41">
        <v>13473.0</v>
      </c>
    </row>
    <row r="29">
      <c r="P29" s="13" t="s">
        <v>355</v>
      </c>
      <c r="Q29" s="41">
        <v>1680.0</v>
      </c>
    </row>
    <row r="30">
      <c r="P30" s="13" t="s">
        <v>356</v>
      </c>
      <c r="Q30" s="41">
        <v>124.0</v>
      </c>
    </row>
    <row r="31">
      <c r="P31" s="13" t="s">
        <v>358</v>
      </c>
      <c r="Q31" s="41">
        <v>160.0</v>
      </c>
    </row>
    <row r="32">
      <c r="P32" s="13" t="s">
        <v>359</v>
      </c>
      <c r="Q32" s="41">
        <v>1144.0</v>
      </c>
    </row>
    <row r="33">
      <c r="P33" s="13" t="s">
        <v>360</v>
      </c>
      <c r="Q33" s="41">
        <v>0.0</v>
      </c>
    </row>
    <row r="34">
      <c r="P34" s="13" t="s">
        <v>361</v>
      </c>
      <c r="Q34" s="41">
        <v>705.0</v>
      </c>
    </row>
    <row r="35">
      <c r="P35" s="13" t="s">
        <v>363</v>
      </c>
      <c r="Q35" s="41">
        <v>894.0</v>
      </c>
    </row>
    <row r="36">
      <c r="P36" s="13" t="s">
        <v>364</v>
      </c>
      <c r="Q36" s="41">
        <v>2859.0</v>
      </c>
    </row>
    <row r="37">
      <c r="P37" s="13" t="s">
        <v>365</v>
      </c>
      <c r="Q37" s="41">
        <v>259.0</v>
      </c>
    </row>
    <row r="38">
      <c r="P38" s="13" t="s">
        <v>366</v>
      </c>
      <c r="Q38" s="41">
        <v>0.0</v>
      </c>
    </row>
    <row r="39">
      <c r="P39" s="13" t="s">
        <v>367</v>
      </c>
      <c r="Q39" s="41">
        <v>4.0</v>
      </c>
    </row>
    <row r="40">
      <c r="P40" s="13" t="s">
        <v>368</v>
      </c>
      <c r="Q40" s="41">
        <v>1025.0</v>
      </c>
    </row>
    <row r="41">
      <c r="P41" s="13" t="s">
        <v>369</v>
      </c>
      <c r="Q41" s="41">
        <v>116.0</v>
      </c>
    </row>
    <row r="42">
      <c r="P42" s="13" t="s">
        <v>370</v>
      </c>
      <c r="Q42" s="41">
        <v>0.0</v>
      </c>
    </row>
    <row r="45">
      <c r="P45" s="43" t="s">
        <v>372</v>
      </c>
    </row>
    <row r="46">
      <c r="P46" s="13" t="s">
        <v>373</v>
      </c>
      <c r="Q46" s="41">
        <v>0.242</v>
      </c>
    </row>
    <row r="47">
      <c r="P47" s="13" t="s">
        <v>465</v>
      </c>
      <c r="Q47" s="41">
        <v>0.24</v>
      </c>
    </row>
    <row r="48">
      <c r="P48" s="13" t="s">
        <v>466</v>
      </c>
      <c r="Q48" s="41">
        <v>0.184</v>
      </c>
    </row>
    <row r="49">
      <c r="P49" s="13" t="s">
        <v>467</v>
      </c>
      <c r="Q49" s="41">
        <v>0.139</v>
      </c>
    </row>
    <row r="50">
      <c r="P50" s="13" t="s">
        <v>377</v>
      </c>
      <c r="Q50" s="41">
        <v>0.194</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8.25"/>
  </cols>
  <sheetData>
    <row r="1">
      <c r="A1" s="28" t="s">
        <v>327</v>
      </c>
      <c r="N1" s="1" t="s">
        <v>457</v>
      </c>
      <c r="P1" s="28" t="s">
        <v>458</v>
      </c>
    </row>
    <row r="2">
      <c r="N2" s="41">
        <v>4245.3</v>
      </c>
      <c r="P2" s="1" t="s">
        <v>646</v>
      </c>
    </row>
    <row r="3">
      <c r="A3" s="1" t="s">
        <v>380</v>
      </c>
    </row>
    <row r="4">
      <c r="A4" s="44" t="s">
        <v>332</v>
      </c>
      <c r="B4" s="44" t="s">
        <v>333</v>
      </c>
      <c r="P4" s="13" t="s">
        <v>460</v>
      </c>
      <c r="Q4" s="41">
        <v>-389.6999999999998</v>
      </c>
    </row>
    <row r="5">
      <c r="A5" s="11" t="s">
        <v>647</v>
      </c>
      <c r="B5" s="31">
        <v>1221.0</v>
      </c>
      <c r="P5" s="13" t="s">
        <v>462</v>
      </c>
      <c r="Q5" s="41">
        <v>3778.3</v>
      </c>
    </row>
    <row r="6">
      <c r="A6" s="11" t="s">
        <v>339</v>
      </c>
      <c r="B6" s="31">
        <v>465.0</v>
      </c>
      <c r="P6" s="13" t="s">
        <v>463</v>
      </c>
      <c r="Q6" s="41">
        <v>-6692.088000000001</v>
      </c>
    </row>
    <row r="7">
      <c r="A7" s="11" t="s">
        <v>341</v>
      </c>
      <c r="B7" s="31">
        <v>46.0</v>
      </c>
    </row>
    <row r="10">
      <c r="P10" s="43" t="s">
        <v>328</v>
      </c>
    </row>
    <row r="11">
      <c r="A11" s="1" t="s">
        <v>330</v>
      </c>
      <c r="P11" s="13" t="s">
        <v>329</v>
      </c>
      <c r="Q11" s="41">
        <v>2434.0</v>
      </c>
    </row>
    <row r="12">
      <c r="A12" s="44" t="s">
        <v>332</v>
      </c>
      <c r="B12" s="44" t="s">
        <v>333</v>
      </c>
      <c r="P12" s="13" t="s">
        <v>331</v>
      </c>
      <c r="Q12" s="41">
        <v>2455.0</v>
      </c>
    </row>
    <row r="13">
      <c r="A13" s="11" t="s">
        <v>648</v>
      </c>
      <c r="B13" s="31">
        <v>3409.0</v>
      </c>
      <c r="P13" s="13" t="s">
        <v>334</v>
      </c>
      <c r="Q13" s="41">
        <v>3741.0</v>
      </c>
    </row>
    <row r="14">
      <c r="A14" s="11" t="s">
        <v>649</v>
      </c>
      <c r="B14" s="31">
        <v>2837.0</v>
      </c>
      <c r="P14" s="13" t="s">
        <v>336</v>
      </c>
      <c r="Q14" s="41">
        <v>3302.0</v>
      </c>
    </row>
    <row r="15">
      <c r="A15" s="11" t="s">
        <v>339</v>
      </c>
      <c r="B15" s="31">
        <v>269.0</v>
      </c>
      <c r="P15" s="13" t="s">
        <v>338</v>
      </c>
      <c r="Q15" s="41">
        <v>3314.0</v>
      </c>
    </row>
    <row r="16">
      <c r="A16" s="11" t="s">
        <v>341</v>
      </c>
      <c r="B16" s="31">
        <v>153.0</v>
      </c>
      <c r="P16" s="13" t="s">
        <v>340</v>
      </c>
      <c r="Q16" s="41">
        <v>3892.0</v>
      </c>
    </row>
    <row r="17">
      <c r="P17" s="13" t="s">
        <v>342</v>
      </c>
      <c r="Q17" s="41">
        <v>4460.0</v>
      </c>
    </row>
    <row r="18">
      <c r="P18" s="13" t="s">
        <v>343</v>
      </c>
      <c r="Q18" s="41">
        <v>1754.0</v>
      </c>
    </row>
    <row r="19">
      <c r="P19" s="13" t="s">
        <v>464</v>
      </c>
      <c r="Q19" s="41">
        <v>698.0</v>
      </c>
    </row>
    <row r="20">
      <c r="A20" s="28" t="s">
        <v>345</v>
      </c>
    </row>
    <row r="22">
      <c r="A22" s="1" t="s">
        <v>347</v>
      </c>
      <c r="P22" s="43" t="s">
        <v>346</v>
      </c>
    </row>
    <row r="23">
      <c r="A23" s="44" t="s">
        <v>332</v>
      </c>
      <c r="B23" s="44" t="s">
        <v>333</v>
      </c>
      <c r="P23" s="13" t="s">
        <v>348</v>
      </c>
      <c r="Q23" s="41">
        <v>2653.0</v>
      </c>
    </row>
    <row r="24">
      <c r="A24" s="11" t="s">
        <v>650</v>
      </c>
      <c r="B24" s="31">
        <v>1816.0</v>
      </c>
      <c r="P24" s="13" t="s">
        <v>349</v>
      </c>
      <c r="Q24" s="41">
        <v>360.0</v>
      </c>
    </row>
    <row r="25">
      <c r="A25" s="11" t="s">
        <v>339</v>
      </c>
      <c r="B25" s="31">
        <v>657.0</v>
      </c>
      <c r="P25" s="13" t="s">
        <v>351</v>
      </c>
      <c r="Q25" s="41">
        <v>92.0</v>
      </c>
    </row>
    <row r="26">
      <c r="A26" s="11" t="s">
        <v>341</v>
      </c>
      <c r="B26" s="31">
        <v>51.0</v>
      </c>
      <c r="P26" s="13" t="s">
        <v>352</v>
      </c>
      <c r="Q26" s="41">
        <v>22.0</v>
      </c>
    </row>
    <row r="27">
      <c r="P27" s="13" t="s">
        <v>353</v>
      </c>
      <c r="Q27" s="41">
        <v>1084.0</v>
      </c>
    </row>
    <row r="28">
      <c r="P28" s="13" t="s">
        <v>354</v>
      </c>
      <c r="Q28" s="41">
        <v>3742.0</v>
      </c>
    </row>
    <row r="29">
      <c r="P29" s="13" t="s">
        <v>355</v>
      </c>
      <c r="Q29" s="41">
        <v>7278.0</v>
      </c>
    </row>
    <row r="30">
      <c r="A30" s="1" t="s">
        <v>357</v>
      </c>
      <c r="P30" s="13" t="s">
        <v>356</v>
      </c>
      <c r="Q30" s="41">
        <v>494.0</v>
      </c>
    </row>
    <row r="31">
      <c r="A31" s="44" t="s">
        <v>332</v>
      </c>
      <c r="B31" s="44" t="s">
        <v>333</v>
      </c>
      <c r="P31" s="13" t="s">
        <v>358</v>
      </c>
      <c r="Q31" s="41">
        <v>65.0</v>
      </c>
    </row>
    <row r="32">
      <c r="A32" s="11" t="s">
        <v>651</v>
      </c>
      <c r="B32" s="31">
        <v>5996.0</v>
      </c>
      <c r="P32" s="13" t="s">
        <v>359</v>
      </c>
      <c r="Q32" s="41">
        <v>2684.0</v>
      </c>
    </row>
    <row r="33">
      <c r="A33" s="11" t="s">
        <v>652</v>
      </c>
      <c r="B33" s="31">
        <v>678.0</v>
      </c>
      <c r="P33" s="13" t="s">
        <v>360</v>
      </c>
      <c r="Q33" s="41">
        <v>110.0</v>
      </c>
    </row>
    <row r="34">
      <c r="A34" s="11" t="s">
        <v>339</v>
      </c>
      <c r="B34" s="31">
        <v>750.0</v>
      </c>
      <c r="P34" s="13" t="s">
        <v>361</v>
      </c>
      <c r="Q34" s="41">
        <v>467.0</v>
      </c>
    </row>
    <row r="35">
      <c r="A35" s="11" t="s">
        <v>341</v>
      </c>
      <c r="B35" s="31">
        <v>59.0</v>
      </c>
      <c r="P35" s="13" t="s">
        <v>363</v>
      </c>
      <c r="Q35" s="41">
        <v>315.0</v>
      </c>
    </row>
    <row r="36">
      <c r="P36" s="13" t="s">
        <v>364</v>
      </c>
      <c r="Q36" s="41">
        <v>144.0</v>
      </c>
    </row>
    <row r="37">
      <c r="P37" s="13" t="s">
        <v>365</v>
      </c>
      <c r="Q37" s="41">
        <v>312.0</v>
      </c>
    </row>
    <row r="38">
      <c r="P38" s="13" t="s">
        <v>366</v>
      </c>
      <c r="Q38" s="41">
        <v>172.0</v>
      </c>
    </row>
    <row r="39">
      <c r="P39" s="13" t="s">
        <v>367</v>
      </c>
      <c r="Q39" s="41">
        <v>183.0</v>
      </c>
    </row>
    <row r="40">
      <c r="P40" s="13" t="s">
        <v>368</v>
      </c>
      <c r="Q40" s="41">
        <v>2275.0</v>
      </c>
    </row>
    <row r="41">
      <c r="P41" s="13" t="s">
        <v>369</v>
      </c>
      <c r="Q41" s="41">
        <v>194.0</v>
      </c>
    </row>
    <row r="42">
      <c r="P42" s="13" t="s">
        <v>370</v>
      </c>
      <c r="Q42" s="41">
        <v>0.0</v>
      </c>
    </row>
    <row r="45">
      <c r="P45" s="43" t="s">
        <v>372</v>
      </c>
    </row>
    <row r="46">
      <c r="P46" s="13" t="s">
        <v>373</v>
      </c>
      <c r="Q46" s="41">
        <v>0.14300000000000002</v>
      </c>
    </row>
    <row r="47">
      <c r="P47" s="13" t="s">
        <v>465</v>
      </c>
      <c r="Q47" s="41">
        <v>0.256</v>
      </c>
    </row>
    <row r="48">
      <c r="P48" s="13" t="s">
        <v>466</v>
      </c>
      <c r="Q48" s="41">
        <v>0.209</v>
      </c>
    </row>
    <row r="49">
      <c r="P49" s="13" t="s">
        <v>467</v>
      </c>
      <c r="Q49" s="41">
        <v>0.177</v>
      </c>
    </row>
    <row r="50">
      <c r="P50" s="13" t="s">
        <v>377</v>
      </c>
      <c r="Q50" s="41">
        <v>0.214</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5.13"/>
    <col customWidth="1" min="13" max="13" width="53.13"/>
    <col customWidth="1" min="14" max="14" width="8.25"/>
  </cols>
  <sheetData>
    <row r="1">
      <c r="A1" s="28" t="s">
        <v>327</v>
      </c>
      <c r="N1" s="1" t="s">
        <v>457</v>
      </c>
      <c r="P1" s="28" t="s">
        <v>458</v>
      </c>
    </row>
    <row r="2">
      <c r="N2" s="41">
        <v>3333.9</v>
      </c>
      <c r="P2" s="1" t="s">
        <v>653</v>
      </c>
    </row>
    <row r="3">
      <c r="A3" s="1" t="s">
        <v>380</v>
      </c>
    </row>
    <row r="4">
      <c r="A4" s="44" t="s">
        <v>332</v>
      </c>
      <c r="B4" s="44" t="s">
        <v>333</v>
      </c>
      <c r="P4" s="13" t="s">
        <v>460</v>
      </c>
      <c r="Q4" s="41">
        <v>-1592.1</v>
      </c>
    </row>
    <row r="5">
      <c r="A5" s="11" t="s">
        <v>654</v>
      </c>
      <c r="B5" s="31">
        <v>1625.0</v>
      </c>
      <c r="P5" s="13" t="s">
        <v>462</v>
      </c>
      <c r="Q5" s="41">
        <v>2287.9</v>
      </c>
    </row>
    <row r="6">
      <c r="A6" s="11" t="s">
        <v>339</v>
      </c>
      <c r="B6" s="31">
        <v>237.0</v>
      </c>
      <c r="P6" s="13" t="s">
        <v>463</v>
      </c>
      <c r="Q6" s="41">
        <v>-6603.522000000001</v>
      </c>
    </row>
    <row r="7">
      <c r="A7" s="11" t="s">
        <v>341</v>
      </c>
      <c r="B7" s="31">
        <v>182.0</v>
      </c>
    </row>
    <row r="10">
      <c r="P10" s="43" t="s">
        <v>328</v>
      </c>
    </row>
    <row r="11">
      <c r="A11" s="1" t="s">
        <v>330</v>
      </c>
      <c r="P11" s="13" t="s">
        <v>329</v>
      </c>
      <c r="Q11" s="41">
        <v>4269.0</v>
      </c>
    </row>
    <row r="12">
      <c r="A12" s="44" t="s">
        <v>332</v>
      </c>
      <c r="B12" s="44" t="s">
        <v>333</v>
      </c>
      <c r="P12" s="13" t="s">
        <v>331</v>
      </c>
      <c r="Q12" s="41">
        <v>3544.0</v>
      </c>
    </row>
    <row r="13">
      <c r="A13" s="11" t="s">
        <v>655</v>
      </c>
      <c r="B13" s="31">
        <v>2846.0</v>
      </c>
      <c r="P13" s="13" t="s">
        <v>334</v>
      </c>
      <c r="Q13" s="41">
        <v>3376.0</v>
      </c>
    </row>
    <row r="14">
      <c r="A14" s="11" t="s">
        <v>339</v>
      </c>
      <c r="B14" s="31">
        <v>1849.0</v>
      </c>
      <c r="P14" s="13" t="s">
        <v>336</v>
      </c>
      <c r="Q14" s="41">
        <v>3684.0</v>
      </c>
    </row>
    <row r="15">
      <c r="A15" s="11" t="s">
        <v>341</v>
      </c>
      <c r="B15" s="31">
        <v>37.0</v>
      </c>
      <c r="P15" s="13" t="s">
        <v>338</v>
      </c>
      <c r="Q15" s="41">
        <v>4172.0</v>
      </c>
    </row>
    <row r="16">
      <c r="P16" s="13" t="s">
        <v>340</v>
      </c>
      <c r="Q16" s="41">
        <v>4424.0</v>
      </c>
    </row>
    <row r="17">
      <c r="P17" s="13" t="s">
        <v>342</v>
      </c>
      <c r="Q17" s="41">
        <v>2212.0</v>
      </c>
    </row>
    <row r="18">
      <c r="P18" s="13" t="s">
        <v>343</v>
      </c>
      <c r="Q18" s="41">
        <v>1497.0</v>
      </c>
    </row>
    <row r="19">
      <c r="A19" s="28" t="s">
        <v>345</v>
      </c>
      <c r="P19" s="13" t="s">
        <v>464</v>
      </c>
      <c r="Q19" s="41">
        <v>577.0</v>
      </c>
    </row>
    <row r="21">
      <c r="A21" s="1" t="s">
        <v>347</v>
      </c>
    </row>
    <row r="22">
      <c r="A22" s="44" t="s">
        <v>332</v>
      </c>
      <c r="B22" s="44" t="s">
        <v>333</v>
      </c>
      <c r="P22" s="43" t="s">
        <v>346</v>
      </c>
    </row>
    <row r="23">
      <c r="A23" s="11" t="s">
        <v>654</v>
      </c>
      <c r="B23" s="31">
        <v>2037.0</v>
      </c>
      <c r="P23" s="13" t="s">
        <v>348</v>
      </c>
      <c r="Q23" s="41">
        <v>3432.0</v>
      </c>
    </row>
    <row r="24">
      <c r="A24" s="11" t="s">
        <v>339</v>
      </c>
      <c r="B24" s="31">
        <v>408.0</v>
      </c>
      <c r="P24" s="13" t="s">
        <v>349</v>
      </c>
      <c r="Q24" s="41">
        <v>510.0</v>
      </c>
    </row>
    <row r="25">
      <c r="A25" s="11" t="s">
        <v>341</v>
      </c>
      <c r="B25" s="31">
        <v>88.0</v>
      </c>
      <c r="P25" s="13" t="s">
        <v>351</v>
      </c>
      <c r="Q25" s="41">
        <v>62.0</v>
      </c>
    </row>
    <row r="26">
      <c r="P26" s="13" t="s">
        <v>352</v>
      </c>
      <c r="Q26" s="41">
        <v>35.0</v>
      </c>
    </row>
    <row r="27">
      <c r="P27" s="13" t="s">
        <v>353</v>
      </c>
      <c r="Q27" s="41">
        <v>941.0</v>
      </c>
    </row>
    <row r="28">
      <c r="P28" s="13" t="s">
        <v>354</v>
      </c>
      <c r="Q28" s="41">
        <v>3286.0</v>
      </c>
    </row>
    <row r="29">
      <c r="A29" s="1" t="s">
        <v>357</v>
      </c>
      <c r="P29" s="13" t="s">
        <v>355</v>
      </c>
      <c r="Q29" s="41">
        <v>6520.0</v>
      </c>
    </row>
    <row r="30">
      <c r="A30" s="44" t="s">
        <v>332</v>
      </c>
      <c r="B30" s="44" t="s">
        <v>333</v>
      </c>
      <c r="P30" s="13" t="s">
        <v>356</v>
      </c>
      <c r="Q30" s="41">
        <v>396.0</v>
      </c>
    </row>
    <row r="31">
      <c r="A31" s="11" t="s">
        <v>656</v>
      </c>
      <c r="B31" s="31">
        <v>4836.0</v>
      </c>
      <c r="P31" s="13" t="s">
        <v>358</v>
      </c>
      <c r="Q31" s="41">
        <v>74.0</v>
      </c>
    </row>
    <row r="32">
      <c r="A32" s="11" t="s">
        <v>339</v>
      </c>
      <c r="B32" s="31">
        <v>1467.0</v>
      </c>
      <c r="P32" s="13" t="s">
        <v>359</v>
      </c>
      <c r="Q32" s="41">
        <v>2473.0</v>
      </c>
    </row>
    <row r="33">
      <c r="A33" s="11" t="s">
        <v>341</v>
      </c>
      <c r="B33" s="31">
        <v>78.0</v>
      </c>
      <c r="P33" s="13" t="s">
        <v>360</v>
      </c>
      <c r="Q33" s="41">
        <v>293.0</v>
      </c>
    </row>
    <row r="34">
      <c r="P34" s="13" t="s">
        <v>361</v>
      </c>
      <c r="Q34" s="41">
        <v>1046.0</v>
      </c>
    </row>
    <row r="35">
      <c r="P35" s="13" t="s">
        <v>363</v>
      </c>
      <c r="Q35" s="41">
        <v>152.0</v>
      </c>
    </row>
    <row r="36">
      <c r="P36" s="13" t="s">
        <v>364</v>
      </c>
      <c r="Q36" s="41">
        <v>431.0</v>
      </c>
    </row>
    <row r="37">
      <c r="P37" s="13" t="s">
        <v>365</v>
      </c>
      <c r="Q37" s="41">
        <v>472.0</v>
      </c>
    </row>
    <row r="38">
      <c r="P38" s="13" t="s">
        <v>366</v>
      </c>
      <c r="Q38" s="41">
        <v>78.0</v>
      </c>
    </row>
    <row r="39">
      <c r="P39" s="13" t="s">
        <v>367</v>
      </c>
      <c r="Q39" s="41">
        <v>80.0</v>
      </c>
    </row>
    <row r="40">
      <c r="P40" s="13" t="s">
        <v>368</v>
      </c>
      <c r="Q40" s="41">
        <v>2719.0</v>
      </c>
    </row>
    <row r="41">
      <c r="P41" s="13" t="s">
        <v>369</v>
      </c>
      <c r="Q41" s="41">
        <v>388.0</v>
      </c>
    </row>
    <row r="42">
      <c r="P42" s="13" t="s">
        <v>370</v>
      </c>
      <c r="Q42" s="41">
        <v>21.0</v>
      </c>
    </row>
    <row r="45">
      <c r="P45" s="43" t="s">
        <v>372</v>
      </c>
    </row>
    <row r="46">
      <c r="P46" s="13" t="s">
        <v>373</v>
      </c>
      <c r="Q46" s="41">
        <v>0.14300000000000002</v>
      </c>
    </row>
    <row r="47">
      <c r="P47" s="13" t="s">
        <v>465</v>
      </c>
      <c r="Q47" s="41">
        <v>0.198</v>
      </c>
    </row>
    <row r="48">
      <c r="P48" s="13" t="s">
        <v>466</v>
      </c>
      <c r="Q48" s="41">
        <v>0.241</v>
      </c>
    </row>
    <row r="49">
      <c r="P49" s="13" t="s">
        <v>467</v>
      </c>
      <c r="Q49" s="41">
        <v>0.16</v>
      </c>
    </row>
    <row r="50">
      <c r="P50" s="13" t="s">
        <v>377</v>
      </c>
      <c r="Q50" s="41">
        <v>0.259</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8.25"/>
  </cols>
  <sheetData>
    <row r="1">
      <c r="A1" s="28" t="s">
        <v>327</v>
      </c>
      <c r="N1" s="1" t="s">
        <v>457</v>
      </c>
      <c r="P1" s="28" t="s">
        <v>458</v>
      </c>
    </row>
    <row r="2">
      <c r="N2" s="41">
        <v>2122.7999999999997</v>
      </c>
      <c r="P2" s="1" t="s">
        <v>657</v>
      </c>
    </row>
    <row r="3">
      <c r="A3" s="1" t="s">
        <v>380</v>
      </c>
    </row>
    <row r="4">
      <c r="A4" s="44" t="s">
        <v>332</v>
      </c>
      <c r="B4" s="44" t="s">
        <v>333</v>
      </c>
      <c r="P4" s="13" t="s">
        <v>460</v>
      </c>
      <c r="Q4" s="41">
        <v>-3176.2000000000003</v>
      </c>
    </row>
    <row r="5">
      <c r="A5" s="11" t="s">
        <v>658</v>
      </c>
      <c r="B5" s="31">
        <v>1151.0</v>
      </c>
      <c r="P5" s="13" t="s">
        <v>462</v>
      </c>
      <c r="Q5" s="41">
        <v>863.7999999999997</v>
      </c>
    </row>
    <row r="6">
      <c r="A6" s="11" t="s">
        <v>339</v>
      </c>
      <c r="B6" s="31">
        <v>281.0</v>
      </c>
      <c r="P6" s="13" t="s">
        <v>463</v>
      </c>
      <c r="Q6" s="41">
        <v>-8009.344000000001</v>
      </c>
    </row>
    <row r="7">
      <c r="A7" s="11" t="s">
        <v>341</v>
      </c>
      <c r="B7" s="31">
        <v>136.0</v>
      </c>
    </row>
    <row r="10">
      <c r="P10" s="43" t="s">
        <v>328</v>
      </c>
    </row>
    <row r="11">
      <c r="A11" s="1" t="s">
        <v>330</v>
      </c>
      <c r="P11" s="13" t="s">
        <v>329</v>
      </c>
      <c r="Q11" s="41">
        <v>3269.0</v>
      </c>
    </row>
    <row r="12">
      <c r="A12" s="44" t="s">
        <v>332</v>
      </c>
      <c r="B12" s="44" t="s">
        <v>333</v>
      </c>
      <c r="P12" s="13" t="s">
        <v>331</v>
      </c>
      <c r="Q12" s="41">
        <v>3557.0</v>
      </c>
    </row>
    <row r="13">
      <c r="A13" s="11" t="s">
        <v>659</v>
      </c>
      <c r="B13" s="31">
        <v>1763.0</v>
      </c>
      <c r="P13" s="13" t="s">
        <v>334</v>
      </c>
      <c r="Q13" s="41">
        <v>4801.0</v>
      </c>
    </row>
    <row r="14">
      <c r="A14" s="11" t="s">
        <v>660</v>
      </c>
      <c r="B14" s="31">
        <v>879.0</v>
      </c>
      <c r="P14" s="13" t="s">
        <v>336</v>
      </c>
      <c r="Q14" s="41">
        <v>3031.0</v>
      </c>
    </row>
    <row r="15">
      <c r="A15" s="11" t="s">
        <v>339</v>
      </c>
      <c r="B15" s="31">
        <v>354.0</v>
      </c>
      <c r="P15" s="13" t="s">
        <v>338</v>
      </c>
      <c r="Q15" s="41">
        <v>3326.0</v>
      </c>
    </row>
    <row r="16">
      <c r="A16" s="11" t="s">
        <v>341</v>
      </c>
      <c r="B16" s="31">
        <v>101.0</v>
      </c>
      <c r="P16" s="13" t="s">
        <v>340</v>
      </c>
      <c r="Q16" s="41">
        <v>3773.0</v>
      </c>
    </row>
    <row r="17">
      <c r="P17" s="13" t="s">
        <v>342</v>
      </c>
      <c r="Q17" s="41">
        <v>2707.0</v>
      </c>
    </row>
    <row r="18">
      <c r="P18" s="13" t="s">
        <v>343</v>
      </c>
      <c r="Q18" s="41">
        <v>1073.0</v>
      </c>
    </row>
    <row r="19">
      <c r="P19" s="13" t="s">
        <v>464</v>
      </c>
      <c r="Q19" s="41">
        <v>479.0</v>
      </c>
    </row>
    <row r="20">
      <c r="A20" s="28" t="s">
        <v>345</v>
      </c>
    </row>
    <row r="22">
      <c r="A22" s="1" t="s">
        <v>347</v>
      </c>
      <c r="P22" s="43" t="s">
        <v>346</v>
      </c>
    </row>
    <row r="23">
      <c r="A23" s="44" t="s">
        <v>332</v>
      </c>
      <c r="B23" s="44" t="s">
        <v>333</v>
      </c>
      <c r="P23" s="13" t="s">
        <v>348</v>
      </c>
      <c r="Q23" s="41">
        <v>2102.0</v>
      </c>
    </row>
    <row r="24">
      <c r="A24" s="11" t="s">
        <v>658</v>
      </c>
      <c r="B24" s="31">
        <v>853.0</v>
      </c>
      <c r="P24" s="13" t="s">
        <v>349</v>
      </c>
      <c r="Q24" s="41">
        <v>631.0</v>
      </c>
    </row>
    <row r="25">
      <c r="A25" s="11" t="s">
        <v>661</v>
      </c>
      <c r="B25" s="31">
        <v>567.0</v>
      </c>
      <c r="P25" s="13" t="s">
        <v>351</v>
      </c>
      <c r="Q25" s="41">
        <v>29.0</v>
      </c>
    </row>
    <row r="26">
      <c r="A26" s="11" t="s">
        <v>339</v>
      </c>
      <c r="B26" s="31">
        <v>241.0</v>
      </c>
      <c r="P26" s="13" t="s">
        <v>352</v>
      </c>
      <c r="Q26" s="41">
        <v>77.0</v>
      </c>
    </row>
    <row r="27">
      <c r="A27" s="11" t="s">
        <v>341</v>
      </c>
      <c r="B27" s="31">
        <v>80.0</v>
      </c>
      <c r="P27" s="13" t="s">
        <v>353</v>
      </c>
      <c r="Q27" s="41">
        <v>623.0</v>
      </c>
    </row>
    <row r="28">
      <c r="P28" s="13" t="s">
        <v>354</v>
      </c>
      <c r="Q28" s="41">
        <v>10989.0</v>
      </c>
    </row>
    <row r="29">
      <c r="P29" s="13" t="s">
        <v>355</v>
      </c>
      <c r="Q29" s="41">
        <v>1879.0</v>
      </c>
    </row>
    <row r="30">
      <c r="P30" s="13" t="s">
        <v>356</v>
      </c>
      <c r="Q30" s="41">
        <v>144.0</v>
      </c>
    </row>
    <row r="31">
      <c r="A31" s="1" t="s">
        <v>357</v>
      </c>
      <c r="P31" s="13" t="s">
        <v>358</v>
      </c>
      <c r="Q31" s="41">
        <v>73.0</v>
      </c>
    </row>
    <row r="32">
      <c r="A32" s="44" t="s">
        <v>332</v>
      </c>
      <c r="B32" s="44" t="s">
        <v>333</v>
      </c>
      <c r="P32" s="13" t="s">
        <v>359</v>
      </c>
      <c r="Q32" s="41">
        <v>1573.0</v>
      </c>
    </row>
    <row r="33">
      <c r="A33" s="11" t="s">
        <v>659</v>
      </c>
      <c r="B33" s="31">
        <v>1630.0</v>
      </c>
      <c r="P33" s="13" t="s">
        <v>360</v>
      </c>
      <c r="Q33" s="41">
        <v>247.0</v>
      </c>
    </row>
    <row r="34">
      <c r="A34" s="11" t="s">
        <v>662</v>
      </c>
      <c r="B34" s="31">
        <v>1142.0</v>
      </c>
      <c r="P34" s="13" t="s">
        <v>361</v>
      </c>
      <c r="Q34" s="41">
        <v>1259.0</v>
      </c>
    </row>
    <row r="35">
      <c r="A35" s="11" t="s">
        <v>663</v>
      </c>
      <c r="B35" s="31">
        <v>667.0</v>
      </c>
      <c r="P35" s="13" t="s">
        <v>363</v>
      </c>
      <c r="Q35" s="41">
        <v>311.0</v>
      </c>
    </row>
    <row r="36">
      <c r="A36" s="11" t="s">
        <v>339</v>
      </c>
      <c r="B36" s="31">
        <v>442.0</v>
      </c>
      <c r="P36" s="13" t="s">
        <v>364</v>
      </c>
      <c r="Q36" s="41">
        <v>405.0</v>
      </c>
    </row>
    <row r="37">
      <c r="A37" s="11" t="s">
        <v>341</v>
      </c>
      <c r="B37" s="31">
        <v>98.0</v>
      </c>
      <c r="P37" s="13" t="s">
        <v>365</v>
      </c>
      <c r="Q37" s="41">
        <v>438.0</v>
      </c>
    </row>
    <row r="38">
      <c r="P38" s="13" t="s">
        <v>366</v>
      </c>
      <c r="Q38" s="41">
        <v>54.0</v>
      </c>
    </row>
    <row r="39">
      <c r="P39" s="13" t="s">
        <v>367</v>
      </c>
      <c r="Q39" s="41">
        <v>63.0</v>
      </c>
    </row>
    <row r="40">
      <c r="P40" s="13" t="s">
        <v>368</v>
      </c>
      <c r="Q40" s="41">
        <v>1145.0</v>
      </c>
    </row>
    <row r="41">
      <c r="P41" s="13" t="s">
        <v>369</v>
      </c>
      <c r="Q41" s="41">
        <v>327.0</v>
      </c>
    </row>
    <row r="42">
      <c r="P42" s="13" t="s">
        <v>370</v>
      </c>
      <c r="Q42" s="41">
        <v>130.0</v>
      </c>
    </row>
    <row r="45">
      <c r="P45" s="43" t="s">
        <v>372</v>
      </c>
    </row>
    <row r="46">
      <c r="P46" s="13" t="s">
        <v>373</v>
      </c>
      <c r="Q46" s="41">
        <v>0.136</v>
      </c>
    </row>
    <row r="47">
      <c r="P47" s="13" t="s">
        <v>465</v>
      </c>
      <c r="Q47" s="41">
        <v>0.23199999999999998</v>
      </c>
    </row>
    <row r="48">
      <c r="P48" s="13" t="s">
        <v>466</v>
      </c>
      <c r="Q48" s="41">
        <v>0.265</v>
      </c>
    </row>
    <row r="49">
      <c r="P49" s="13" t="s">
        <v>467</v>
      </c>
      <c r="Q49" s="41">
        <v>0.201</v>
      </c>
    </row>
    <row r="50">
      <c r="P50" s="13" t="s">
        <v>377</v>
      </c>
      <c r="Q50" s="41">
        <v>0.166</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8.25"/>
  </cols>
  <sheetData>
    <row r="1">
      <c r="A1" s="28" t="s">
        <v>327</v>
      </c>
      <c r="N1" s="1" t="s">
        <v>457</v>
      </c>
      <c r="P1" s="28" t="s">
        <v>458</v>
      </c>
    </row>
    <row r="2">
      <c r="N2" s="41">
        <v>1478.3999999999999</v>
      </c>
      <c r="P2" s="1" t="s">
        <v>664</v>
      </c>
    </row>
    <row r="3">
      <c r="A3" s="1" t="s">
        <v>380</v>
      </c>
    </row>
    <row r="4">
      <c r="A4" s="44" t="s">
        <v>332</v>
      </c>
      <c r="B4" s="44" t="s">
        <v>333</v>
      </c>
      <c r="P4" s="13" t="s">
        <v>460</v>
      </c>
      <c r="Q4" s="41">
        <v>-3169.6000000000004</v>
      </c>
    </row>
    <row r="5">
      <c r="A5" s="11" t="s">
        <v>665</v>
      </c>
      <c r="B5" s="31">
        <v>680.0</v>
      </c>
      <c r="P5" s="13" t="s">
        <v>462</v>
      </c>
      <c r="Q5" s="41">
        <v>-57.600000000000136</v>
      </c>
    </row>
    <row r="6">
      <c r="A6" s="11" t="s">
        <v>666</v>
      </c>
      <c r="B6" s="31">
        <v>321.0</v>
      </c>
      <c r="P6" s="13" t="s">
        <v>463</v>
      </c>
      <c r="Q6" s="41">
        <v>-9315.138</v>
      </c>
    </row>
    <row r="7">
      <c r="A7" s="11" t="s">
        <v>667</v>
      </c>
      <c r="B7" s="31">
        <v>259.0</v>
      </c>
    </row>
    <row r="8">
      <c r="A8" s="11" t="s">
        <v>339</v>
      </c>
      <c r="B8" s="31">
        <v>181.0</v>
      </c>
    </row>
    <row r="9">
      <c r="A9" s="11" t="s">
        <v>341</v>
      </c>
      <c r="B9" s="31">
        <v>132.0</v>
      </c>
    </row>
    <row r="10">
      <c r="P10" s="43" t="s">
        <v>328</v>
      </c>
    </row>
    <row r="11">
      <c r="P11" s="13" t="s">
        <v>329</v>
      </c>
      <c r="Q11" s="41">
        <v>5326.0</v>
      </c>
    </row>
    <row r="12">
      <c r="P12" s="13" t="s">
        <v>331</v>
      </c>
      <c r="Q12" s="41">
        <v>3104.0</v>
      </c>
    </row>
    <row r="13">
      <c r="A13" s="1" t="s">
        <v>330</v>
      </c>
      <c r="P13" s="13" t="s">
        <v>334</v>
      </c>
      <c r="Q13" s="41">
        <v>4766.0</v>
      </c>
    </row>
    <row r="14">
      <c r="A14" s="44" t="s">
        <v>332</v>
      </c>
      <c r="B14" s="44" t="s">
        <v>333</v>
      </c>
      <c r="P14" s="13" t="s">
        <v>336</v>
      </c>
      <c r="Q14" s="41">
        <v>4534.0</v>
      </c>
    </row>
    <row r="15">
      <c r="A15" s="11" t="s">
        <v>668</v>
      </c>
      <c r="B15" s="31">
        <v>1513.0</v>
      </c>
      <c r="P15" s="13" t="s">
        <v>338</v>
      </c>
      <c r="Q15" s="41">
        <v>3455.0</v>
      </c>
    </row>
    <row r="16">
      <c r="A16" s="11" t="s">
        <v>339</v>
      </c>
      <c r="B16" s="31">
        <v>417.0</v>
      </c>
      <c r="P16" s="13" t="s">
        <v>340</v>
      </c>
      <c r="Q16" s="41">
        <v>3234.0</v>
      </c>
    </row>
    <row r="17">
      <c r="A17" s="11" t="s">
        <v>341</v>
      </c>
      <c r="B17" s="31">
        <v>105.0</v>
      </c>
      <c r="P17" s="13" t="s">
        <v>342</v>
      </c>
      <c r="Q17" s="41">
        <v>2228.0</v>
      </c>
    </row>
    <row r="18">
      <c r="P18" s="13" t="s">
        <v>343</v>
      </c>
      <c r="Q18" s="41">
        <v>1345.0</v>
      </c>
    </row>
    <row r="19">
      <c r="P19" s="13" t="s">
        <v>464</v>
      </c>
      <c r="Q19" s="41">
        <v>480.0</v>
      </c>
    </row>
    <row r="21">
      <c r="A21" s="1" t="s">
        <v>669</v>
      </c>
    </row>
    <row r="22">
      <c r="A22" s="44" t="s">
        <v>332</v>
      </c>
      <c r="B22" s="44" t="s">
        <v>333</v>
      </c>
      <c r="P22" s="43" t="s">
        <v>346</v>
      </c>
    </row>
    <row r="23">
      <c r="A23" s="11" t="s">
        <v>670</v>
      </c>
      <c r="B23" s="31">
        <v>9.0</v>
      </c>
      <c r="P23" s="13" t="s">
        <v>348</v>
      </c>
      <c r="Q23" s="41">
        <v>3613.0</v>
      </c>
    </row>
    <row r="24">
      <c r="A24" s="11" t="s">
        <v>339</v>
      </c>
      <c r="B24" s="31">
        <v>11.0</v>
      </c>
      <c r="P24" s="13" t="s">
        <v>349</v>
      </c>
      <c r="Q24" s="41">
        <v>868.0</v>
      </c>
    </row>
    <row r="25">
      <c r="A25" s="11" t="s">
        <v>341</v>
      </c>
      <c r="B25" s="31">
        <v>93.0</v>
      </c>
      <c r="P25" s="13" t="s">
        <v>351</v>
      </c>
      <c r="Q25" s="41">
        <v>25.0</v>
      </c>
    </row>
    <row r="26">
      <c r="P26" s="13" t="s">
        <v>352</v>
      </c>
      <c r="Q26" s="41">
        <v>93.0</v>
      </c>
    </row>
    <row r="27">
      <c r="P27" s="13" t="s">
        <v>353</v>
      </c>
      <c r="Q27" s="41">
        <v>246.0</v>
      </c>
    </row>
    <row r="28">
      <c r="P28" s="13" t="s">
        <v>354</v>
      </c>
      <c r="Q28" s="41">
        <v>10399.0</v>
      </c>
    </row>
    <row r="29">
      <c r="A29" s="28" t="s">
        <v>345</v>
      </c>
      <c r="P29" s="13" t="s">
        <v>355</v>
      </c>
      <c r="Q29" s="41">
        <v>913.0</v>
      </c>
    </row>
    <row r="30">
      <c r="P30" s="13" t="s">
        <v>356</v>
      </c>
      <c r="Q30" s="41">
        <v>107.0</v>
      </c>
    </row>
    <row r="31">
      <c r="A31" s="1" t="s">
        <v>347</v>
      </c>
      <c r="P31" s="13" t="s">
        <v>358</v>
      </c>
      <c r="Q31" s="41">
        <v>142.0</v>
      </c>
    </row>
    <row r="32">
      <c r="A32" s="44" t="s">
        <v>332</v>
      </c>
      <c r="B32" s="44" t="s">
        <v>333</v>
      </c>
      <c r="P32" s="13" t="s">
        <v>359</v>
      </c>
      <c r="Q32" s="41">
        <v>1236.0</v>
      </c>
    </row>
    <row r="33">
      <c r="A33" s="11" t="s">
        <v>671</v>
      </c>
      <c r="B33" s="31">
        <v>833.0</v>
      </c>
      <c r="P33" s="13" t="s">
        <v>360</v>
      </c>
      <c r="Q33" s="41">
        <v>646.0</v>
      </c>
    </row>
    <row r="34">
      <c r="A34" s="11" t="s">
        <v>672</v>
      </c>
      <c r="B34" s="31">
        <v>660.0</v>
      </c>
      <c r="P34" s="13" t="s">
        <v>361</v>
      </c>
      <c r="Q34" s="41">
        <v>1536.0</v>
      </c>
    </row>
    <row r="35">
      <c r="A35" s="11" t="s">
        <v>339</v>
      </c>
      <c r="B35" s="31">
        <v>257.0</v>
      </c>
      <c r="P35" s="13" t="s">
        <v>363</v>
      </c>
      <c r="Q35" s="41">
        <v>656.0</v>
      </c>
    </row>
    <row r="36">
      <c r="A36" s="11" t="s">
        <v>341</v>
      </c>
      <c r="B36" s="31">
        <v>97.0</v>
      </c>
      <c r="P36" s="13" t="s">
        <v>364</v>
      </c>
      <c r="Q36" s="41">
        <v>460.0</v>
      </c>
    </row>
    <row r="37">
      <c r="P37" s="13" t="s">
        <v>365</v>
      </c>
      <c r="Q37" s="41">
        <v>845.0</v>
      </c>
    </row>
    <row r="38">
      <c r="P38" s="13" t="s">
        <v>366</v>
      </c>
      <c r="Q38" s="41">
        <v>98.0</v>
      </c>
    </row>
    <row r="39">
      <c r="P39" s="13" t="s">
        <v>367</v>
      </c>
      <c r="Q39" s="41">
        <v>127.0</v>
      </c>
    </row>
    <row r="40">
      <c r="A40" s="1" t="s">
        <v>357</v>
      </c>
      <c r="P40" s="13" t="s">
        <v>368</v>
      </c>
      <c r="Q40" s="41">
        <v>1771.0</v>
      </c>
    </row>
    <row r="41">
      <c r="A41" s="44" t="s">
        <v>332</v>
      </c>
      <c r="B41" s="44" t="s">
        <v>333</v>
      </c>
      <c r="P41" s="13" t="s">
        <v>369</v>
      </c>
      <c r="Q41" s="41">
        <v>163.0</v>
      </c>
    </row>
    <row r="42">
      <c r="A42" s="11" t="s">
        <v>668</v>
      </c>
      <c r="B42" s="31">
        <v>1213.0</v>
      </c>
      <c r="P42" s="13" t="s">
        <v>370</v>
      </c>
      <c r="Q42" s="41">
        <v>125.0</v>
      </c>
    </row>
    <row r="43">
      <c r="A43" s="11" t="s">
        <v>673</v>
      </c>
      <c r="B43" s="31">
        <v>707.0</v>
      </c>
    </row>
    <row r="44">
      <c r="A44" s="11" t="s">
        <v>674</v>
      </c>
      <c r="B44" s="31">
        <v>628.0</v>
      </c>
    </row>
    <row r="45">
      <c r="A45" s="11" t="s">
        <v>339</v>
      </c>
      <c r="B45" s="31">
        <v>236.0</v>
      </c>
      <c r="P45" s="43" t="s">
        <v>372</v>
      </c>
    </row>
    <row r="46">
      <c r="A46" s="11" t="s">
        <v>341</v>
      </c>
      <c r="B46" s="31">
        <v>109.0</v>
      </c>
      <c r="P46" s="13" t="s">
        <v>373</v>
      </c>
      <c r="Q46" s="41">
        <v>0.132</v>
      </c>
    </row>
    <row r="47">
      <c r="P47" s="13" t="s">
        <v>465</v>
      </c>
      <c r="Q47" s="41">
        <v>0.225</v>
      </c>
    </row>
    <row r="48">
      <c r="P48" s="13" t="s">
        <v>466</v>
      </c>
      <c r="Q48" s="41">
        <v>0.263</v>
      </c>
    </row>
    <row r="49">
      <c r="P49" s="13" t="s">
        <v>467</v>
      </c>
      <c r="Q49" s="41">
        <v>0.161</v>
      </c>
    </row>
    <row r="50">
      <c r="P50" s="13" t="s">
        <v>377</v>
      </c>
      <c r="Q50" s="41">
        <v>0.218</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5.13"/>
    <col customWidth="1" min="13" max="13" width="53.13"/>
    <col customWidth="1" min="14" max="14" width="8.25"/>
  </cols>
  <sheetData>
    <row r="1">
      <c r="A1" s="28" t="s">
        <v>327</v>
      </c>
      <c r="N1" s="1" t="s">
        <v>457</v>
      </c>
      <c r="P1" s="28" t="s">
        <v>458</v>
      </c>
    </row>
    <row r="2">
      <c r="N2" s="41">
        <v>1575.0</v>
      </c>
      <c r="P2" s="1" t="s">
        <v>675</v>
      </c>
    </row>
    <row r="3">
      <c r="A3" s="1" t="s">
        <v>380</v>
      </c>
    </row>
    <row r="4">
      <c r="A4" s="44" t="s">
        <v>332</v>
      </c>
      <c r="B4" s="44" t="s">
        <v>333</v>
      </c>
      <c r="P4" s="13" t="s">
        <v>460</v>
      </c>
      <c r="Q4" s="41">
        <v>-4982.0</v>
      </c>
    </row>
    <row r="5">
      <c r="A5" s="11" t="s">
        <v>676</v>
      </c>
      <c r="B5" s="31">
        <v>1183.0</v>
      </c>
      <c r="P5" s="13" t="s">
        <v>462</v>
      </c>
      <c r="Q5" s="41">
        <v>720.0</v>
      </c>
    </row>
    <row r="6">
      <c r="A6" s="11" t="s">
        <v>339</v>
      </c>
      <c r="B6" s="31">
        <v>301.0</v>
      </c>
      <c r="P6" s="13" t="s">
        <v>463</v>
      </c>
      <c r="Q6" s="41">
        <v>-8393.805</v>
      </c>
    </row>
    <row r="7">
      <c r="A7" s="11" t="s">
        <v>341</v>
      </c>
      <c r="B7" s="31">
        <v>75.0</v>
      </c>
    </row>
    <row r="10">
      <c r="P10" s="43" t="s">
        <v>328</v>
      </c>
    </row>
    <row r="11">
      <c r="A11" s="1" t="s">
        <v>330</v>
      </c>
      <c r="P11" s="13" t="s">
        <v>329</v>
      </c>
      <c r="Q11" s="41">
        <v>5198.0</v>
      </c>
    </row>
    <row r="12">
      <c r="A12" s="44" t="s">
        <v>332</v>
      </c>
      <c r="B12" s="44" t="s">
        <v>333</v>
      </c>
      <c r="P12" s="13" t="s">
        <v>331</v>
      </c>
      <c r="Q12" s="41">
        <v>3619.0</v>
      </c>
    </row>
    <row r="13">
      <c r="A13" s="11" t="s">
        <v>677</v>
      </c>
      <c r="B13" s="31">
        <v>1452.0</v>
      </c>
      <c r="P13" s="13" t="s">
        <v>334</v>
      </c>
      <c r="Q13" s="41">
        <v>5631.0</v>
      </c>
    </row>
    <row r="14">
      <c r="A14" s="11" t="s">
        <v>339</v>
      </c>
      <c r="B14" s="31">
        <v>699.0</v>
      </c>
      <c r="P14" s="13" t="s">
        <v>336</v>
      </c>
      <c r="Q14" s="41">
        <v>5923.0</v>
      </c>
    </row>
    <row r="15">
      <c r="A15" s="11" t="s">
        <v>341</v>
      </c>
      <c r="B15" s="31">
        <v>32.0</v>
      </c>
      <c r="P15" s="13" t="s">
        <v>338</v>
      </c>
      <c r="Q15" s="41">
        <v>3471.0</v>
      </c>
    </row>
    <row r="16">
      <c r="P16" s="13" t="s">
        <v>340</v>
      </c>
      <c r="Q16" s="41">
        <v>3593.0</v>
      </c>
    </row>
    <row r="17">
      <c r="P17" s="13" t="s">
        <v>342</v>
      </c>
      <c r="Q17" s="41">
        <v>2307.0</v>
      </c>
    </row>
    <row r="18">
      <c r="P18" s="13" t="s">
        <v>343</v>
      </c>
      <c r="Q18" s="41">
        <v>734.0</v>
      </c>
    </row>
    <row r="19">
      <c r="A19" s="28" t="s">
        <v>345</v>
      </c>
      <c r="P19" s="13" t="s">
        <v>464</v>
      </c>
      <c r="Q19" s="41">
        <v>306.0</v>
      </c>
    </row>
    <row r="21">
      <c r="A21" s="1" t="s">
        <v>347</v>
      </c>
    </row>
    <row r="22">
      <c r="A22" s="44" t="s">
        <v>332</v>
      </c>
      <c r="B22" s="44" t="s">
        <v>333</v>
      </c>
      <c r="P22" s="43" t="s">
        <v>346</v>
      </c>
    </row>
    <row r="23">
      <c r="A23" s="11" t="s">
        <v>676</v>
      </c>
      <c r="B23" s="31">
        <v>1280.0</v>
      </c>
      <c r="P23" s="13" t="s">
        <v>348</v>
      </c>
      <c r="Q23" s="41">
        <v>6866.0</v>
      </c>
    </row>
    <row r="24">
      <c r="A24" s="11" t="s">
        <v>678</v>
      </c>
      <c r="B24" s="31">
        <v>473.0</v>
      </c>
      <c r="P24" s="13" t="s">
        <v>349</v>
      </c>
      <c r="Q24" s="41">
        <v>1576.0</v>
      </c>
    </row>
    <row r="25">
      <c r="A25" s="11" t="s">
        <v>339</v>
      </c>
      <c r="B25" s="31">
        <v>265.0</v>
      </c>
      <c r="P25" s="13" t="s">
        <v>351</v>
      </c>
      <c r="Q25" s="41">
        <v>102.0</v>
      </c>
    </row>
    <row r="26">
      <c r="A26" s="11" t="s">
        <v>341</v>
      </c>
      <c r="B26" s="31">
        <v>79.0</v>
      </c>
      <c r="P26" s="13" t="s">
        <v>352</v>
      </c>
      <c r="Q26" s="41">
        <v>49.0</v>
      </c>
    </row>
    <row r="27">
      <c r="P27" s="13" t="s">
        <v>353</v>
      </c>
      <c r="Q27" s="41">
        <v>556.0</v>
      </c>
    </row>
    <row r="28">
      <c r="P28" s="13" t="s">
        <v>354</v>
      </c>
      <c r="Q28" s="41">
        <v>7591.0</v>
      </c>
    </row>
    <row r="29">
      <c r="P29" s="13" t="s">
        <v>355</v>
      </c>
      <c r="Q29" s="41">
        <v>1618.0</v>
      </c>
    </row>
    <row r="30">
      <c r="A30" s="1" t="s">
        <v>357</v>
      </c>
      <c r="P30" s="13" t="s">
        <v>356</v>
      </c>
      <c r="Q30" s="41">
        <v>291.0</v>
      </c>
    </row>
    <row r="31">
      <c r="A31" s="44" t="s">
        <v>332</v>
      </c>
      <c r="B31" s="44" t="s">
        <v>333</v>
      </c>
      <c r="P31" s="13" t="s">
        <v>358</v>
      </c>
      <c r="Q31" s="41">
        <v>193.0</v>
      </c>
    </row>
    <row r="32">
      <c r="A32" s="11" t="s">
        <v>679</v>
      </c>
      <c r="B32" s="31">
        <v>1903.0</v>
      </c>
      <c r="P32" s="13" t="s">
        <v>359</v>
      </c>
      <c r="Q32" s="41">
        <v>1858.0</v>
      </c>
    </row>
    <row r="33">
      <c r="A33" s="11" t="s">
        <v>339</v>
      </c>
      <c r="B33" s="31">
        <v>1111.0</v>
      </c>
      <c r="P33" s="13" t="s">
        <v>360</v>
      </c>
      <c r="Q33" s="41">
        <v>122.0</v>
      </c>
    </row>
    <row r="34">
      <c r="A34" s="11" t="s">
        <v>341</v>
      </c>
      <c r="B34" s="31">
        <v>53.0</v>
      </c>
      <c r="P34" s="13" t="s">
        <v>361</v>
      </c>
      <c r="Q34" s="41">
        <v>855.0</v>
      </c>
    </row>
    <row r="35">
      <c r="P35" s="13" t="s">
        <v>363</v>
      </c>
      <c r="Q35" s="41">
        <v>625.0</v>
      </c>
    </row>
    <row r="36">
      <c r="P36" s="13" t="s">
        <v>364</v>
      </c>
      <c r="Q36" s="41">
        <v>518.0</v>
      </c>
    </row>
    <row r="37">
      <c r="P37" s="13" t="s">
        <v>365</v>
      </c>
      <c r="Q37" s="41">
        <v>760.0</v>
      </c>
    </row>
    <row r="38">
      <c r="P38" s="13" t="s">
        <v>366</v>
      </c>
      <c r="Q38" s="41">
        <v>171.0</v>
      </c>
    </row>
    <row r="39">
      <c r="P39" s="13" t="s">
        <v>367</v>
      </c>
      <c r="Q39" s="41">
        <v>355.0</v>
      </c>
    </row>
    <row r="40">
      <c r="P40" s="13" t="s">
        <v>368</v>
      </c>
      <c r="Q40" s="41">
        <v>2613.0</v>
      </c>
    </row>
    <row r="41">
      <c r="P41" s="13" t="s">
        <v>369</v>
      </c>
      <c r="Q41" s="41">
        <v>656.0</v>
      </c>
    </row>
    <row r="42">
      <c r="P42" s="13" t="s">
        <v>370</v>
      </c>
      <c r="Q42" s="41">
        <v>35.0</v>
      </c>
    </row>
    <row r="45">
      <c r="P45" s="43" t="s">
        <v>372</v>
      </c>
    </row>
    <row r="46">
      <c r="P46" s="13" t="s">
        <v>373</v>
      </c>
      <c r="Q46" s="41">
        <v>0.11499999999999999</v>
      </c>
    </row>
    <row r="47">
      <c r="P47" s="13" t="s">
        <v>465</v>
      </c>
      <c r="Q47" s="41">
        <v>0.182</v>
      </c>
    </row>
    <row r="48">
      <c r="P48" s="13" t="s">
        <v>466</v>
      </c>
      <c r="Q48" s="41">
        <v>0.323</v>
      </c>
    </row>
    <row r="49">
      <c r="P49" s="13" t="s">
        <v>467</v>
      </c>
      <c r="Q49" s="41">
        <v>0.173</v>
      </c>
    </row>
    <row r="50">
      <c r="P50" s="13" t="s">
        <v>377</v>
      </c>
      <c r="Q50" s="41">
        <v>0.209</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3"/>
    <col customWidth="1" min="13" max="13" width="53.13"/>
    <col customWidth="1" min="14" max="14" width="9.13"/>
  </cols>
  <sheetData>
    <row r="1">
      <c r="A1" s="28" t="s">
        <v>327</v>
      </c>
      <c r="N1" s="1" t="s">
        <v>457</v>
      </c>
      <c r="P1" s="28" t="s">
        <v>458</v>
      </c>
    </row>
    <row r="2">
      <c r="N2" s="41">
        <v>1748.3999999999999</v>
      </c>
      <c r="P2" s="1" t="s">
        <v>680</v>
      </c>
    </row>
    <row r="3">
      <c r="A3" s="1" t="s">
        <v>380</v>
      </c>
    </row>
    <row r="4">
      <c r="A4" s="44" t="s">
        <v>332</v>
      </c>
      <c r="B4" s="44" t="s">
        <v>333</v>
      </c>
      <c r="P4" s="13" t="s">
        <v>460</v>
      </c>
      <c r="Q4" s="41">
        <v>-3788.6000000000004</v>
      </c>
    </row>
    <row r="5">
      <c r="A5" s="11" t="s">
        <v>681</v>
      </c>
      <c r="B5" s="31">
        <v>1020.0</v>
      </c>
      <c r="P5" s="13" t="s">
        <v>462</v>
      </c>
      <c r="Q5" s="41">
        <v>-1327.6000000000001</v>
      </c>
    </row>
    <row r="6">
      <c r="A6" s="11" t="s">
        <v>339</v>
      </c>
      <c r="B6" s="31">
        <v>248.0</v>
      </c>
      <c r="P6" s="13" t="s">
        <v>463</v>
      </c>
      <c r="Q6" s="41">
        <v>-10968.178000000002</v>
      </c>
    </row>
    <row r="7">
      <c r="A7" s="11" t="s">
        <v>341</v>
      </c>
      <c r="B7" s="31">
        <v>108.0</v>
      </c>
    </row>
    <row r="10">
      <c r="P10" s="43" t="s">
        <v>328</v>
      </c>
    </row>
    <row r="11">
      <c r="A11" s="1" t="s">
        <v>330</v>
      </c>
      <c r="P11" s="13" t="s">
        <v>329</v>
      </c>
      <c r="Q11" s="41">
        <v>4931.0</v>
      </c>
    </row>
    <row r="12">
      <c r="A12" s="44" t="s">
        <v>332</v>
      </c>
      <c r="B12" s="44" t="s">
        <v>333</v>
      </c>
      <c r="P12" s="13" t="s">
        <v>331</v>
      </c>
      <c r="Q12" s="41">
        <v>3687.0</v>
      </c>
    </row>
    <row r="13">
      <c r="A13" s="11" t="s">
        <v>682</v>
      </c>
      <c r="B13" s="31">
        <v>1074.0</v>
      </c>
      <c r="P13" s="13" t="s">
        <v>334</v>
      </c>
      <c r="Q13" s="41">
        <v>3903.0</v>
      </c>
    </row>
    <row r="14">
      <c r="A14" s="11" t="s">
        <v>683</v>
      </c>
      <c r="B14" s="31">
        <v>498.0</v>
      </c>
      <c r="P14" s="13" t="s">
        <v>336</v>
      </c>
      <c r="Q14" s="41">
        <v>4100.0</v>
      </c>
    </row>
    <row r="15">
      <c r="A15" s="11" t="s">
        <v>684</v>
      </c>
      <c r="B15" s="31">
        <v>427.0</v>
      </c>
      <c r="P15" s="13" t="s">
        <v>338</v>
      </c>
      <c r="Q15" s="41">
        <v>3407.0</v>
      </c>
    </row>
    <row r="16">
      <c r="A16" s="11" t="s">
        <v>339</v>
      </c>
      <c r="B16" s="31">
        <v>323.0</v>
      </c>
      <c r="P16" s="13" t="s">
        <v>340</v>
      </c>
      <c r="Q16" s="41">
        <v>2962.0</v>
      </c>
    </row>
    <row r="17">
      <c r="A17" s="11" t="s">
        <v>341</v>
      </c>
      <c r="B17" s="31">
        <v>116.0</v>
      </c>
      <c r="P17" s="13" t="s">
        <v>342</v>
      </c>
      <c r="Q17" s="41">
        <v>1870.0</v>
      </c>
    </row>
    <row r="18">
      <c r="P18" s="13" t="s">
        <v>343</v>
      </c>
      <c r="Q18" s="41">
        <v>940.0</v>
      </c>
    </row>
    <row r="19">
      <c r="P19" s="13" t="s">
        <v>464</v>
      </c>
      <c r="Q19" s="41">
        <v>371.0</v>
      </c>
    </row>
    <row r="21">
      <c r="A21" s="28" t="s">
        <v>345</v>
      </c>
    </row>
    <row r="22">
      <c r="P22" s="43" t="s">
        <v>346</v>
      </c>
    </row>
    <row r="23">
      <c r="A23" s="1" t="s">
        <v>347</v>
      </c>
      <c r="P23" s="13" t="s">
        <v>348</v>
      </c>
      <c r="Q23" s="41">
        <v>1963.0</v>
      </c>
    </row>
    <row r="24">
      <c r="A24" s="44" t="s">
        <v>332</v>
      </c>
      <c r="B24" s="44" t="s">
        <v>333</v>
      </c>
      <c r="P24" s="13" t="s">
        <v>349</v>
      </c>
      <c r="Q24" s="41">
        <v>107.0</v>
      </c>
    </row>
    <row r="25">
      <c r="A25" s="11" t="s">
        <v>681</v>
      </c>
      <c r="B25" s="31">
        <v>1330.0</v>
      </c>
      <c r="P25" s="13" t="s">
        <v>351</v>
      </c>
      <c r="Q25" s="41">
        <v>87.0</v>
      </c>
    </row>
    <row r="26">
      <c r="A26" s="11" t="s">
        <v>339</v>
      </c>
      <c r="B26" s="31">
        <v>407.0</v>
      </c>
      <c r="P26" s="13" t="s">
        <v>352</v>
      </c>
      <c r="Q26" s="41">
        <v>5.0</v>
      </c>
    </row>
    <row r="27">
      <c r="A27" s="11" t="s">
        <v>341</v>
      </c>
      <c r="B27" s="31">
        <v>60.0</v>
      </c>
      <c r="P27" s="13" t="s">
        <v>353</v>
      </c>
      <c r="Q27" s="41">
        <v>453.0</v>
      </c>
    </row>
    <row r="28">
      <c r="P28" s="13" t="s">
        <v>354</v>
      </c>
      <c r="Q28" s="41">
        <v>7803.0</v>
      </c>
    </row>
    <row r="29">
      <c r="P29" s="13" t="s">
        <v>355</v>
      </c>
      <c r="Q29" s="41">
        <v>2084.0</v>
      </c>
    </row>
    <row r="30">
      <c r="P30" s="13" t="s">
        <v>356</v>
      </c>
      <c r="Q30" s="41">
        <v>173.0</v>
      </c>
    </row>
    <row r="31">
      <c r="A31" s="1" t="s">
        <v>357</v>
      </c>
      <c r="P31" s="13" t="s">
        <v>358</v>
      </c>
      <c r="Q31" s="41">
        <v>140.0</v>
      </c>
    </row>
    <row r="32">
      <c r="A32" s="44" t="s">
        <v>332</v>
      </c>
      <c r="B32" s="44" t="s">
        <v>333</v>
      </c>
      <c r="P32" s="13" t="s">
        <v>359</v>
      </c>
      <c r="Q32" s="41">
        <v>1036.0</v>
      </c>
    </row>
    <row r="33">
      <c r="A33" s="11" t="s">
        <v>685</v>
      </c>
      <c r="B33" s="31">
        <v>1257.0</v>
      </c>
      <c r="P33" s="13" t="s">
        <v>360</v>
      </c>
      <c r="Q33" s="41">
        <v>0.0</v>
      </c>
    </row>
    <row r="34">
      <c r="A34" s="11" t="s">
        <v>682</v>
      </c>
      <c r="B34" s="31">
        <v>960.0</v>
      </c>
      <c r="P34" s="13" t="s">
        <v>361</v>
      </c>
      <c r="Q34" s="41">
        <v>3076.0</v>
      </c>
    </row>
    <row r="35">
      <c r="A35" s="11" t="s">
        <v>686</v>
      </c>
      <c r="B35" s="31">
        <v>825.0</v>
      </c>
      <c r="P35" s="13" t="s">
        <v>363</v>
      </c>
      <c r="Q35" s="41">
        <v>251.0</v>
      </c>
    </row>
    <row r="36">
      <c r="A36" s="11" t="s">
        <v>339</v>
      </c>
      <c r="B36" s="31">
        <v>251.0</v>
      </c>
      <c r="P36" s="13" t="s">
        <v>364</v>
      </c>
      <c r="Q36" s="41">
        <v>661.0</v>
      </c>
    </row>
    <row r="37">
      <c r="A37" s="11" t="s">
        <v>341</v>
      </c>
      <c r="B37" s="31">
        <v>97.0</v>
      </c>
      <c r="P37" s="13" t="s">
        <v>365</v>
      </c>
      <c r="Q37" s="41">
        <v>171.0</v>
      </c>
    </row>
    <row r="38">
      <c r="P38" s="13" t="s">
        <v>366</v>
      </c>
      <c r="Q38" s="41">
        <v>36.0</v>
      </c>
    </row>
    <row r="39">
      <c r="P39" s="13" t="s">
        <v>367</v>
      </c>
      <c r="Q39" s="41">
        <v>55.0</v>
      </c>
    </row>
    <row r="40">
      <c r="P40" s="13" t="s">
        <v>368</v>
      </c>
      <c r="Q40" s="41">
        <v>1796.0</v>
      </c>
    </row>
    <row r="41">
      <c r="P41" s="13" t="s">
        <v>369</v>
      </c>
      <c r="Q41" s="41">
        <v>103.0</v>
      </c>
    </row>
    <row r="42">
      <c r="P42" s="13" t="s">
        <v>370</v>
      </c>
      <c r="Q42" s="41">
        <v>53.0</v>
      </c>
    </row>
    <row r="45">
      <c r="P45" s="43" t="s">
        <v>372</v>
      </c>
    </row>
    <row r="46">
      <c r="P46" s="13" t="s">
        <v>373</v>
      </c>
      <c r="Q46" s="41">
        <v>0.21700000000000003</v>
      </c>
    </row>
    <row r="47">
      <c r="P47" s="13" t="s">
        <v>465</v>
      </c>
      <c r="Q47" s="41">
        <v>0.232</v>
      </c>
    </row>
    <row r="48">
      <c r="P48" s="13" t="s">
        <v>466</v>
      </c>
      <c r="Q48" s="41">
        <v>0.267</v>
      </c>
    </row>
    <row r="49">
      <c r="P49" s="13" t="s">
        <v>467</v>
      </c>
      <c r="Q49" s="41">
        <v>0.12</v>
      </c>
    </row>
    <row r="50">
      <c r="P50" s="13" t="s">
        <v>377</v>
      </c>
      <c r="Q50" s="41">
        <v>0.166</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8.25"/>
  </cols>
  <sheetData>
    <row r="1">
      <c r="A1" s="28" t="s">
        <v>327</v>
      </c>
      <c r="N1" s="1" t="s">
        <v>457</v>
      </c>
      <c r="P1" s="28" t="s">
        <v>458</v>
      </c>
    </row>
    <row r="2">
      <c r="N2" s="41">
        <v>1073.1</v>
      </c>
      <c r="P2" s="1" t="s">
        <v>687</v>
      </c>
    </row>
    <row r="3">
      <c r="A3" s="1" t="s">
        <v>380</v>
      </c>
    </row>
    <row r="4">
      <c r="A4" s="44" t="s">
        <v>332</v>
      </c>
      <c r="B4" s="44" t="s">
        <v>333</v>
      </c>
      <c r="P4" s="13" t="s">
        <v>460</v>
      </c>
      <c r="Q4" s="41">
        <v>-5239.9</v>
      </c>
    </row>
    <row r="5">
      <c r="A5" s="11" t="s">
        <v>688</v>
      </c>
      <c r="B5" s="31">
        <v>1106.0</v>
      </c>
      <c r="P5" s="13" t="s">
        <v>462</v>
      </c>
      <c r="Q5" s="41">
        <v>-334.9000000000001</v>
      </c>
    </row>
    <row r="6">
      <c r="A6" s="11" t="s">
        <v>689</v>
      </c>
      <c r="B6" s="31">
        <v>802.0</v>
      </c>
      <c r="P6" s="13" t="s">
        <v>463</v>
      </c>
      <c r="Q6" s="41">
        <v>-9978.404999999999</v>
      </c>
    </row>
    <row r="7">
      <c r="A7" s="11" t="s">
        <v>339</v>
      </c>
      <c r="B7" s="31">
        <v>146.0</v>
      </c>
    </row>
    <row r="8">
      <c r="A8" s="11" t="s">
        <v>341</v>
      </c>
      <c r="B8" s="31">
        <v>257.0</v>
      </c>
    </row>
    <row r="10">
      <c r="P10" s="43" t="s">
        <v>328</v>
      </c>
    </row>
    <row r="11">
      <c r="P11" s="13" t="s">
        <v>329</v>
      </c>
      <c r="Q11" s="41">
        <v>5136.0</v>
      </c>
    </row>
    <row r="12">
      <c r="A12" s="28" t="s">
        <v>345</v>
      </c>
      <c r="P12" s="13" t="s">
        <v>331</v>
      </c>
      <c r="Q12" s="41">
        <v>3411.0</v>
      </c>
    </row>
    <row r="13">
      <c r="P13" s="13" t="s">
        <v>334</v>
      </c>
      <c r="Q13" s="41">
        <v>5005.0</v>
      </c>
    </row>
    <row r="14">
      <c r="A14" s="1" t="s">
        <v>347</v>
      </c>
      <c r="P14" s="13" t="s">
        <v>336</v>
      </c>
      <c r="Q14" s="41">
        <v>4546.0</v>
      </c>
    </row>
    <row r="15">
      <c r="A15" s="44" t="s">
        <v>332</v>
      </c>
      <c r="B15" s="44" t="s">
        <v>333</v>
      </c>
      <c r="P15" s="13" t="s">
        <v>338</v>
      </c>
      <c r="Q15" s="41">
        <v>3406.0</v>
      </c>
    </row>
    <row r="16">
      <c r="A16" s="11" t="s">
        <v>688</v>
      </c>
      <c r="B16" s="31">
        <v>1430.0</v>
      </c>
      <c r="P16" s="13" t="s">
        <v>340</v>
      </c>
      <c r="Q16" s="41">
        <v>3703.0</v>
      </c>
    </row>
    <row r="17">
      <c r="A17" s="11" t="s">
        <v>690</v>
      </c>
      <c r="B17" s="31">
        <v>395.0</v>
      </c>
      <c r="P17" s="13" t="s">
        <v>342</v>
      </c>
      <c r="Q17" s="41">
        <v>1708.0</v>
      </c>
    </row>
    <row r="18">
      <c r="A18" s="11" t="s">
        <v>339</v>
      </c>
      <c r="B18" s="31">
        <v>250.0</v>
      </c>
      <c r="P18" s="13" t="s">
        <v>343</v>
      </c>
      <c r="Q18" s="41">
        <v>1299.0</v>
      </c>
    </row>
    <row r="19">
      <c r="A19" s="11" t="s">
        <v>341</v>
      </c>
      <c r="B19" s="31">
        <v>73.0</v>
      </c>
      <c r="P19" s="13" t="s">
        <v>464</v>
      </c>
      <c r="Q19" s="41">
        <v>413.0</v>
      </c>
    </row>
    <row r="22">
      <c r="P22" s="43" t="s">
        <v>346</v>
      </c>
    </row>
    <row r="23">
      <c r="A23" s="1" t="s">
        <v>357</v>
      </c>
      <c r="P23" s="13" t="s">
        <v>348</v>
      </c>
      <c r="Q23" s="41">
        <v>6657.0</v>
      </c>
    </row>
    <row r="24">
      <c r="A24" s="44" t="s">
        <v>332</v>
      </c>
      <c r="B24" s="44" t="s">
        <v>333</v>
      </c>
      <c r="P24" s="13" t="s">
        <v>349</v>
      </c>
      <c r="Q24" s="41">
        <v>1834.0</v>
      </c>
    </row>
    <row r="25">
      <c r="A25" s="11" t="s">
        <v>691</v>
      </c>
      <c r="B25" s="31">
        <v>2652.0</v>
      </c>
      <c r="P25" s="13" t="s">
        <v>351</v>
      </c>
      <c r="Q25" s="41">
        <v>66.0</v>
      </c>
    </row>
    <row r="26">
      <c r="A26" s="11" t="s">
        <v>339</v>
      </c>
      <c r="B26" s="31">
        <v>871.0</v>
      </c>
      <c r="P26" s="13" t="s">
        <v>352</v>
      </c>
      <c r="Q26" s="41">
        <v>74.0</v>
      </c>
    </row>
    <row r="27">
      <c r="A27" s="11" t="s">
        <v>341</v>
      </c>
      <c r="B27" s="31">
        <v>54.0</v>
      </c>
      <c r="P27" s="13" t="s">
        <v>353</v>
      </c>
      <c r="Q27" s="41">
        <v>507.0</v>
      </c>
    </row>
    <row r="28">
      <c r="P28" s="13" t="s">
        <v>354</v>
      </c>
      <c r="Q28" s="41">
        <v>5068.0</v>
      </c>
    </row>
    <row r="29">
      <c r="P29" s="13" t="s">
        <v>355</v>
      </c>
      <c r="Q29" s="41">
        <v>1848.0</v>
      </c>
    </row>
    <row r="30">
      <c r="P30" s="13" t="s">
        <v>356</v>
      </c>
      <c r="Q30" s="41">
        <v>334.0</v>
      </c>
    </row>
    <row r="31">
      <c r="P31" s="13" t="s">
        <v>358</v>
      </c>
      <c r="Q31" s="41">
        <v>74.0</v>
      </c>
    </row>
    <row r="32">
      <c r="P32" s="13" t="s">
        <v>359</v>
      </c>
      <c r="Q32" s="41">
        <v>1161.0</v>
      </c>
    </row>
    <row r="33">
      <c r="P33" s="13" t="s">
        <v>360</v>
      </c>
      <c r="Q33" s="41">
        <v>96.0</v>
      </c>
    </row>
    <row r="34">
      <c r="P34" s="13" t="s">
        <v>361</v>
      </c>
      <c r="Q34" s="41">
        <v>1408.0</v>
      </c>
    </row>
    <row r="35">
      <c r="P35" s="13" t="s">
        <v>363</v>
      </c>
      <c r="Q35" s="41">
        <v>836.0</v>
      </c>
    </row>
    <row r="36">
      <c r="P36" s="13" t="s">
        <v>364</v>
      </c>
      <c r="Q36" s="41">
        <v>455.0</v>
      </c>
    </row>
    <row r="37">
      <c r="P37" s="13" t="s">
        <v>365</v>
      </c>
      <c r="Q37" s="41">
        <v>730.0</v>
      </c>
    </row>
    <row r="38">
      <c r="P38" s="13" t="s">
        <v>366</v>
      </c>
      <c r="Q38" s="41">
        <v>383.0</v>
      </c>
    </row>
    <row r="39">
      <c r="P39" s="13" t="s">
        <v>367</v>
      </c>
      <c r="Q39" s="41">
        <v>209.0</v>
      </c>
    </row>
    <row r="40">
      <c r="P40" s="13" t="s">
        <v>368</v>
      </c>
      <c r="Q40" s="41">
        <v>2322.0</v>
      </c>
    </row>
    <row r="41">
      <c r="P41" s="13" t="s">
        <v>369</v>
      </c>
      <c r="Q41" s="41">
        <v>438.0</v>
      </c>
    </row>
    <row r="42">
      <c r="P42" s="13" t="s">
        <v>370</v>
      </c>
      <c r="Q42" s="41">
        <v>31.0</v>
      </c>
    </row>
    <row r="45">
      <c r="P45" s="43" t="s">
        <v>372</v>
      </c>
    </row>
    <row r="46">
      <c r="P46" s="13" t="s">
        <v>373</v>
      </c>
      <c r="Q46" s="41">
        <v>0.116</v>
      </c>
    </row>
    <row r="47">
      <c r="P47" s="13" t="s">
        <v>465</v>
      </c>
      <c r="Q47" s="41">
        <v>0.239</v>
      </c>
    </row>
    <row r="48">
      <c r="P48" s="13" t="s">
        <v>466</v>
      </c>
      <c r="Q48" s="41">
        <v>0.26</v>
      </c>
    </row>
    <row r="49">
      <c r="P49" s="13" t="s">
        <v>467</v>
      </c>
      <c r="Q49" s="41">
        <v>0.137</v>
      </c>
    </row>
    <row r="50">
      <c r="P50" s="13" t="s">
        <v>377</v>
      </c>
      <c r="Q50" s="41">
        <v>0.247</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1413.3</v>
      </c>
      <c r="P2" s="1" t="s">
        <v>692</v>
      </c>
    </row>
    <row r="3">
      <c r="A3" s="1" t="s">
        <v>330</v>
      </c>
    </row>
    <row r="4">
      <c r="A4" s="44" t="s">
        <v>332</v>
      </c>
      <c r="B4" s="44" t="s">
        <v>333</v>
      </c>
      <c r="P4" s="13" t="s">
        <v>460</v>
      </c>
      <c r="Q4" s="41">
        <v>-3397.7</v>
      </c>
    </row>
    <row r="5">
      <c r="A5" s="11" t="s">
        <v>693</v>
      </c>
      <c r="B5" s="31">
        <v>1664.0</v>
      </c>
      <c r="P5" s="13" t="s">
        <v>462</v>
      </c>
      <c r="Q5" s="41">
        <v>-7790.7</v>
      </c>
    </row>
    <row r="6">
      <c r="A6" s="11" t="s">
        <v>339</v>
      </c>
      <c r="B6" s="31">
        <v>287.0</v>
      </c>
      <c r="P6" s="13" t="s">
        <v>463</v>
      </c>
      <c r="Q6" s="41">
        <v>-12637.472000000002</v>
      </c>
    </row>
    <row r="7">
      <c r="A7" s="11" t="s">
        <v>341</v>
      </c>
      <c r="B7" s="31">
        <v>91.0</v>
      </c>
    </row>
    <row r="10">
      <c r="P10" s="43" t="s">
        <v>328</v>
      </c>
    </row>
    <row r="11">
      <c r="A11" s="28" t="s">
        <v>345</v>
      </c>
      <c r="P11" s="13" t="s">
        <v>329</v>
      </c>
      <c r="Q11" s="41">
        <v>5078.0</v>
      </c>
    </row>
    <row r="12">
      <c r="P12" s="13" t="s">
        <v>331</v>
      </c>
      <c r="Q12" s="41">
        <v>3271.0</v>
      </c>
    </row>
    <row r="13">
      <c r="A13" s="1" t="s">
        <v>347</v>
      </c>
      <c r="P13" s="13" t="s">
        <v>334</v>
      </c>
      <c r="Q13" s="41">
        <v>3824.0</v>
      </c>
    </row>
    <row r="14">
      <c r="A14" s="44" t="s">
        <v>332</v>
      </c>
      <c r="B14" s="44" t="s">
        <v>333</v>
      </c>
      <c r="P14" s="13" t="s">
        <v>336</v>
      </c>
      <c r="Q14" s="41">
        <v>3947.0</v>
      </c>
    </row>
    <row r="15">
      <c r="A15" s="11" t="s">
        <v>694</v>
      </c>
      <c r="B15" s="31">
        <v>1230.0</v>
      </c>
      <c r="P15" s="13" t="s">
        <v>338</v>
      </c>
      <c r="Q15" s="41">
        <v>2792.0</v>
      </c>
    </row>
    <row r="16">
      <c r="A16" s="11" t="s">
        <v>339</v>
      </c>
      <c r="B16" s="31">
        <v>423.0</v>
      </c>
      <c r="P16" s="13" t="s">
        <v>340</v>
      </c>
      <c r="Q16" s="41">
        <v>2964.0</v>
      </c>
    </row>
    <row r="17">
      <c r="A17" s="11" t="s">
        <v>341</v>
      </c>
      <c r="B17" s="31">
        <v>72.0</v>
      </c>
      <c r="P17" s="13" t="s">
        <v>342</v>
      </c>
      <c r="Q17" s="41">
        <v>2053.0</v>
      </c>
    </row>
    <row r="18">
      <c r="P18" s="13" t="s">
        <v>343</v>
      </c>
      <c r="Q18" s="41">
        <v>1284.0</v>
      </c>
    </row>
    <row r="19">
      <c r="P19" s="13" t="s">
        <v>464</v>
      </c>
      <c r="Q19" s="41">
        <v>278.0</v>
      </c>
    </row>
    <row r="21">
      <c r="A21" s="1" t="s">
        <v>357</v>
      </c>
    </row>
    <row r="22">
      <c r="A22" s="44" t="s">
        <v>332</v>
      </c>
      <c r="B22" s="44" t="s">
        <v>333</v>
      </c>
      <c r="P22" s="43" t="s">
        <v>346</v>
      </c>
    </row>
    <row r="23">
      <c r="A23" s="11" t="s">
        <v>693</v>
      </c>
      <c r="B23" s="31">
        <v>1767.0</v>
      </c>
      <c r="P23" s="13" t="s">
        <v>348</v>
      </c>
      <c r="Q23" s="41">
        <v>2658.0</v>
      </c>
    </row>
    <row r="24">
      <c r="A24" s="11" t="s">
        <v>695</v>
      </c>
      <c r="B24" s="31">
        <v>548.0</v>
      </c>
      <c r="P24" s="13" t="s">
        <v>349</v>
      </c>
      <c r="Q24" s="41">
        <v>864.0</v>
      </c>
    </row>
    <row r="25">
      <c r="A25" s="11" t="s">
        <v>339</v>
      </c>
      <c r="B25" s="31">
        <v>248.0</v>
      </c>
      <c r="P25" s="13" t="s">
        <v>351</v>
      </c>
      <c r="Q25" s="41">
        <v>158.0</v>
      </c>
    </row>
    <row r="26">
      <c r="A26" s="11" t="s">
        <v>341</v>
      </c>
      <c r="B26" s="31">
        <v>106.0</v>
      </c>
      <c r="C26" s="17">
        <f>sum(B23:B26)</f>
        <v>2669</v>
      </c>
      <c r="P26" s="13" t="s">
        <v>352</v>
      </c>
      <c r="Q26" s="41">
        <v>12.0</v>
      </c>
    </row>
    <row r="27">
      <c r="P27" s="13" t="s">
        <v>353</v>
      </c>
      <c r="Q27" s="41">
        <v>185.0</v>
      </c>
    </row>
    <row r="28">
      <c r="P28" s="13" t="s">
        <v>354</v>
      </c>
      <c r="Q28" s="41">
        <v>1828.0</v>
      </c>
    </row>
    <row r="29">
      <c r="A29" s="17">
        <f>(((sum(B23:B26)+sum(B5:B7))/2))</f>
        <v>2355.5</v>
      </c>
      <c r="P29" s="13" t="s">
        <v>355</v>
      </c>
      <c r="Q29" s="41">
        <v>386.0</v>
      </c>
    </row>
    <row r="30">
      <c r="A30" s="17">
        <f>A29/2</f>
        <v>1177.75</v>
      </c>
      <c r="P30" s="13" t="s">
        <v>356</v>
      </c>
      <c r="Q30" s="41">
        <v>67.0</v>
      </c>
    </row>
    <row r="31">
      <c r="A31" s="17">
        <f>A30+0.15*A29</f>
        <v>1531.075</v>
      </c>
      <c r="P31" s="13" t="s">
        <v>358</v>
      </c>
      <c r="Q31" s="41">
        <v>37.0</v>
      </c>
    </row>
    <row r="32">
      <c r="P32" s="13" t="s">
        <v>359</v>
      </c>
      <c r="Q32" s="41">
        <v>504.0</v>
      </c>
    </row>
    <row r="33">
      <c r="P33" s="13" t="s">
        <v>360</v>
      </c>
      <c r="Q33" s="41">
        <v>61.0</v>
      </c>
    </row>
    <row r="34">
      <c r="P34" s="13" t="s">
        <v>361</v>
      </c>
      <c r="Q34" s="41">
        <v>9204.0</v>
      </c>
    </row>
    <row r="35">
      <c r="P35" s="13" t="s">
        <v>363</v>
      </c>
      <c r="Q35" s="41">
        <v>329.0</v>
      </c>
    </row>
    <row r="36">
      <c r="P36" s="13" t="s">
        <v>364</v>
      </c>
      <c r="Q36" s="41">
        <v>1737.0</v>
      </c>
    </row>
    <row r="37">
      <c r="P37" s="13" t="s">
        <v>365</v>
      </c>
      <c r="Q37" s="41">
        <v>570.0</v>
      </c>
    </row>
    <row r="38">
      <c r="P38" s="13" t="s">
        <v>366</v>
      </c>
      <c r="Q38" s="41">
        <v>80.0</v>
      </c>
    </row>
    <row r="39">
      <c r="P39" s="13" t="s">
        <v>367</v>
      </c>
      <c r="Q39" s="41">
        <v>46.0</v>
      </c>
    </row>
    <row r="40">
      <c r="P40" s="13" t="s">
        <v>368</v>
      </c>
      <c r="Q40" s="41">
        <v>675.0</v>
      </c>
    </row>
    <row r="41">
      <c r="P41" s="13" t="s">
        <v>369</v>
      </c>
      <c r="Q41" s="41">
        <v>239.0</v>
      </c>
    </row>
    <row r="42">
      <c r="P42" s="13" t="s">
        <v>370</v>
      </c>
      <c r="Q42" s="41">
        <v>11.0</v>
      </c>
    </row>
    <row r="45">
      <c r="P45" s="43" t="s">
        <v>372</v>
      </c>
    </row>
    <row r="46">
      <c r="P46" s="13" t="s">
        <v>373</v>
      </c>
      <c r="Q46" s="41">
        <v>0.262</v>
      </c>
    </row>
    <row r="47">
      <c r="P47" s="13" t="s">
        <v>465</v>
      </c>
      <c r="Q47" s="41">
        <v>0.246</v>
      </c>
    </row>
    <row r="48">
      <c r="P48" s="13" t="s">
        <v>466</v>
      </c>
      <c r="Q48" s="41">
        <v>0.243</v>
      </c>
    </row>
    <row r="49">
      <c r="P49" s="13" t="s">
        <v>467</v>
      </c>
      <c r="Q49" s="41">
        <v>0.129</v>
      </c>
    </row>
    <row r="50">
      <c r="P50" s="13" t="s">
        <v>377</v>
      </c>
      <c r="Q50" s="41">
        <v>0.119</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5.13"/>
    <col customWidth="1" min="13" max="13" width="53.13"/>
    <col customWidth="1" min="14" max="14" width="9.13"/>
  </cols>
  <sheetData>
    <row r="1">
      <c r="A1" s="28" t="s">
        <v>327</v>
      </c>
      <c r="N1" s="1" t="s">
        <v>457</v>
      </c>
      <c r="P1" s="28" t="s">
        <v>458</v>
      </c>
    </row>
    <row r="2">
      <c r="N2" s="41">
        <v>1345.8</v>
      </c>
      <c r="P2" s="1" t="s">
        <v>696</v>
      </c>
    </row>
    <row r="3">
      <c r="A3" s="1" t="s">
        <v>380</v>
      </c>
    </row>
    <row r="4">
      <c r="A4" s="44" t="s">
        <v>332</v>
      </c>
      <c r="B4" s="44" t="s">
        <v>333</v>
      </c>
      <c r="P4" s="13" t="s">
        <v>460</v>
      </c>
      <c r="Q4" s="41">
        <v>-2088.2</v>
      </c>
    </row>
    <row r="5">
      <c r="A5" s="11" t="s">
        <v>697</v>
      </c>
      <c r="B5" s="31">
        <v>631.0</v>
      </c>
      <c r="P5" s="13" t="s">
        <v>462</v>
      </c>
      <c r="Q5" s="41">
        <v>-5205.2</v>
      </c>
    </row>
    <row r="6">
      <c r="A6" s="11" t="s">
        <v>698</v>
      </c>
      <c r="B6" s="31">
        <v>401.0</v>
      </c>
      <c r="P6" s="13" t="s">
        <v>463</v>
      </c>
      <c r="Q6" s="41">
        <v>-14599.957000000002</v>
      </c>
    </row>
    <row r="7">
      <c r="A7" s="11" t="s">
        <v>339</v>
      </c>
      <c r="B7" s="31">
        <v>72.0</v>
      </c>
    </row>
    <row r="8">
      <c r="A8" s="11" t="s">
        <v>341</v>
      </c>
      <c r="B8" s="31">
        <v>129.0</v>
      </c>
    </row>
    <row r="10">
      <c r="P10" s="43" t="s">
        <v>328</v>
      </c>
    </row>
    <row r="11">
      <c r="P11" s="13" t="s">
        <v>329</v>
      </c>
      <c r="Q11" s="41">
        <v>3537.0</v>
      </c>
    </row>
    <row r="12">
      <c r="A12" s="1" t="s">
        <v>330</v>
      </c>
      <c r="P12" s="13" t="s">
        <v>331</v>
      </c>
      <c r="Q12" s="41">
        <v>3243.0</v>
      </c>
    </row>
    <row r="13">
      <c r="A13" s="44" t="s">
        <v>332</v>
      </c>
      <c r="B13" s="44" t="s">
        <v>333</v>
      </c>
      <c r="P13" s="13" t="s">
        <v>334</v>
      </c>
      <c r="Q13" s="41">
        <v>2961.0</v>
      </c>
    </row>
    <row r="14">
      <c r="A14" s="11" t="s">
        <v>699</v>
      </c>
      <c r="B14" s="31">
        <v>976.0</v>
      </c>
      <c r="P14" s="13" t="s">
        <v>336</v>
      </c>
      <c r="Q14" s="41">
        <v>3610.0</v>
      </c>
    </row>
    <row r="15">
      <c r="A15" s="11" t="s">
        <v>700</v>
      </c>
      <c r="B15" s="31">
        <v>504.0</v>
      </c>
      <c r="P15" s="13" t="s">
        <v>338</v>
      </c>
      <c r="Q15" s="41">
        <v>2565.0</v>
      </c>
    </row>
    <row r="16">
      <c r="A16" s="11" t="s">
        <v>701</v>
      </c>
      <c r="B16" s="31">
        <v>229.0</v>
      </c>
      <c r="P16" s="13" t="s">
        <v>340</v>
      </c>
      <c r="Q16" s="41">
        <v>3084.0</v>
      </c>
    </row>
    <row r="17">
      <c r="A17" s="11" t="s">
        <v>702</v>
      </c>
      <c r="B17" s="31">
        <v>80.0</v>
      </c>
      <c r="P17" s="13" t="s">
        <v>342</v>
      </c>
      <c r="Q17" s="41">
        <v>2492.0</v>
      </c>
    </row>
    <row r="18">
      <c r="A18" s="11" t="s">
        <v>339</v>
      </c>
      <c r="B18" s="31">
        <v>126.0</v>
      </c>
      <c r="P18" s="13" t="s">
        <v>343</v>
      </c>
      <c r="Q18" s="41">
        <v>1028.0</v>
      </c>
    </row>
    <row r="19">
      <c r="A19" s="11" t="s">
        <v>341</v>
      </c>
      <c r="B19" s="31">
        <v>126.0</v>
      </c>
      <c r="P19" s="13" t="s">
        <v>464</v>
      </c>
      <c r="Q19" s="41">
        <v>192.0</v>
      </c>
    </row>
    <row r="22">
      <c r="P22" s="43" t="s">
        <v>346</v>
      </c>
    </row>
    <row r="23">
      <c r="A23" s="28" t="s">
        <v>345</v>
      </c>
      <c r="P23" s="13" t="s">
        <v>348</v>
      </c>
      <c r="Q23" s="41">
        <v>3513.0</v>
      </c>
    </row>
    <row r="24">
      <c r="P24" s="13" t="s">
        <v>349</v>
      </c>
      <c r="Q24" s="41">
        <v>530.0</v>
      </c>
    </row>
    <row r="25">
      <c r="A25" s="1" t="s">
        <v>347</v>
      </c>
      <c r="P25" s="13" t="s">
        <v>351</v>
      </c>
      <c r="Q25" s="41">
        <v>126.0</v>
      </c>
    </row>
    <row r="26">
      <c r="A26" s="44" t="s">
        <v>332</v>
      </c>
      <c r="B26" s="44" t="s">
        <v>333</v>
      </c>
      <c r="P26" s="13" t="s">
        <v>352</v>
      </c>
      <c r="Q26" s="41">
        <v>10.0</v>
      </c>
    </row>
    <row r="27">
      <c r="A27" s="11" t="s">
        <v>698</v>
      </c>
      <c r="B27" s="31">
        <v>411.0</v>
      </c>
      <c r="P27" s="13" t="s">
        <v>353</v>
      </c>
      <c r="Q27" s="41">
        <v>170.0</v>
      </c>
    </row>
    <row r="28">
      <c r="A28" s="11" t="s">
        <v>703</v>
      </c>
      <c r="B28" s="31">
        <v>406.0</v>
      </c>
      <c r="P28" s="13" t="s">
        <v>354</v>
      </c>
      <c r="Q28" s="41">
        <v>1478.0</v>
      </c>
    </row>
    <row r="29">
      <c r="A29" s="11" t="s">
        <v>704</v>
      </c>
      <c r="B29" s="31">
        <v>353.0</v>
      </c>
      <c r="P29" s="13" t="s">
        <v>355</v>
      </c>
      <c r="Q29" s="41">
        <v>670.0</v>
      </c>
    </row>
    <row r="30">
      <c r="A30" s="11" t="s">
        <v>339</v>
      </c>
      <c r="B30" s="31">
        <v>169.0</v>
      </c>
      <c r="P30" s="13" t="s">
        <v>356</v>
      </c>
      <c r="Q30" s="41">
        <v>18.0</v>
      </c>
    </row>
    <row r="31">
      <c r="A31" s="11" t="s">
        <v>341</v>
      </c>
      <c r="B31" s="31">
        <v>91.0</v>
      </c>
      <c r="P31" s="13" t="s">
        <v>358</v>
      </c>
      <c r="Q31" s="41">
        <v>16.0</v>
      </c>
    </row>
    <row r="32">
      <c r="P32" s="13" t="s">
        <v>359</v>
      </c>
      <c r="Q32" s="41">
        <v>516.0</v>
      </c>
    </row>
    <row r="33">
      <c r="P33" s="13" t="s">
        <v>360</v>
      </c>
      <c r="Q33" s="41">
        <v>35.0</v>
      </c>
    </row>
    <row r="34">
      <c r="P34" s="13" t="s">
        <v>361</v>
      </c>
      <c r="Q34" s="41">
        <v>6551.0</v>
      </c>
    </row>
    <row r="35">
      <c r="A35" s="1" t="s">
        <v>357</v>
      </c>
      <c r="P35" s="13" t="s">
        <v>363</v>
      </c>
      <c r="Q35" s="41">
        <v>646.0</v>
      </c>
    </row>
    <row r="36">
      <c r="A36" s="44" t="s">
        <v>332</v>
      </c>
      <c r="B36" s="44" t="s">
        <v>333</v>
      </c>
      <c r="P36" s="13" t="s">
        <v>364</v>
      </c>
      <c r="Q36" s="41">
        <v>2676.0</v>
      </c>
    </row>
    <row r="37">
      <c r="A37" s="11" t="s">
        <v>443</v>
      </c>
      <c r="B37" s="31">
        <v>1657.0</v>
      </c>
      <c r="P37" s="13" t="s">
        <v>365</v>
      </c>
      <c r="Q37" s="41">
        <v>244.0</v>
      </c>
    </row>
    <row r="38">
      <c r="A38" s="11" t="s">
        <v>705</v>
      </c>
      <c r="B38" s="31">
        <v>595.0</v>
      </c>
      <c r="P38" s="13" t="s">
        <v>366</v>
      </c>
      <c r="Q38" s="41">
        <v>25.0</v>
      </c>
    </row>
    <row r="39">
      <c r="A39" s="11" t="s">
        <v>339</v>
      </c>
      <c r="B39" s="31">
        <v>71.0</v>
      </c>
      <c r="P39" s="13" t="s">
        <v>367</v>
      </c>
      <c r="Q39" s="41">
        <v>111.0</v>
      </c>
    </row>
    <row r="40">
      <c r="A40" s="11" t="s">
        <v>341</v>
      </c>
      <c r="B40" s="31">
        <v>122.0</v>
      </c>
      <c r="P40" s="13" t="s">
        <v>368</v>
      </c>
      <c r="Q40" s="41">
        <v>643.0</v>
      </c>
    </row>
    <row r="41">
      <c r="P41" s="13" t="s">
        <v>369</v>
      </c>
      <c r="Q41" s="41">
        <v>101.0</v>
      </c>
    </row>
    <row r="42">
      <c r="P42" s="13" t="s">
        <v>370</v>
      </c>
      <c r="Q42" s="41">
        <v>35.0</v>
      </c>
    </row>
    <row r="45">
      <c r="P45" s="43" t="s">
        <v>372</v>
      </c>
    </row>
    <row r="46">
      <c r="P46" s="13" t="s">
        <v>373</v>
      </c>
      <c r="Q46" s="41">
        <v>0.36500000000000005</v>
      </c>
    </row>
    <row r="47">
      <c r="P47" s="13" t="s">
        <v>465</v>
      </c>
      <c r="Q47" s="41">
        <v>0.278</v>
      </c>
    </row>
    <row r="48">
      <c r="P48" s="13" t="s">
        <v>466</v>
      </c>
      <c r="Q48" s="41">
        <v>0.196</v>
      </c>
    </row>
    <row r="49">
      <c r="P49" s="13" t="s">
        <v>467</v>
      </c>
      <c r="Q49" s="41">
        <v>0.066</v>
      </c>
    </row>
    <row r="50">
      <c r="P50" s="13" t="s">
        <v>377</v>
      </c>
      <c r="Q50" s="41">
        <v>0.095</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5.13"/>
    <col customWidth="1" min="13" max="13" width="53.13"/>
    <col customWidth="1" min="14" max="14" width="12.0"/>
  </cols>
  <sheetData>
    <row r="1">
      <c r="A1" s="28" t="s">
        <v>327</v>
      </c>
      <c r="N1" s="1" t="s">
        <v>457</v>
      </c>
      <c r="P1" s="28" t="s">
        <v>458</v>
      </c>
    </row>
    <row r="2">
      <c r="N2" s="41">
        <v>2173.5</v>
      </c>
      <c r="P2" s="1" t="s">
        <v>706</v>
      </c>
    </row>
    <row r="3">
      <c r="A3" s="1" t="s">
        <v>380</v>
      </c>
    </row>
    <row r="4">
      <c r="A4" s="44" t="s">
        <v>332</v>
      </c>
      <c r="B4" s="44" t="s">
        <v>333</v>
      </c>
      <c r="P4" s="13" t="s">
        <v>460</v>
      </c>
      <c r="Q4" s="41">
        <v>-13450.5</v>
      </c>
    </row>
    <row r="5">
      <c r="A5" s="11" t="s">
        <v>707</v>
      </c>
      <c r="B5" s="31">
        <v>795.0</v>
      </c>
      <c r="P5" s="13" t="s">
        <v>462</v>
      </c>
      <c r="Q5" s="41">
        <v>1177.5</v>
      </c>
    </row>
    <row r="6">
      <c r="A6" s="11" t="s">
        <v>339</v>
      </c>
      <c r="B6" s="31">
        <v>316.0</v>
      </c>
      <c r="P6" s="13" t="s">
        <v>463</v>
      </c>
      <c r="Q6" s="41">
        <v>-28320.92</v>
      </c>
    </row>
    <row r="7">
      <c r="A7" s="11" t="s">
        <v>341</v>
      </c>
      <c r="B7" s="31">
        <v>62.0</v>
      </c>
    </row>
    <row r="10">
      <c r="P10" s="43" t="s">
        <v>328</v>
      </c>
    </row>
    <row r="11">
      <c r="A11" s="1" t="s">
        <v>330</v>
      </c>
      <c r="P11" s="13" t="s">
        <v>329</v>
      </c>
      <c r="Q11" s="41">
        <v>6650.0</v>
      </c>
    </row>
    <row r="12">
      <c r="A12" s="44" t="s">
        <v>332</v>
      </c>
      <c r="B12" s="44" t="s">
        <v>333</v>
      </c>
      <c r="P12" s="13" t="s">
        <v>331</v>
      </c>
      <c r="Q12" s="41">
        <v>10056.0</v>
      </c>
    </row>
    <row r="13">
      <c r="A13" s="11" t="s">
        <v>708</v>
      </c>
      <c r="B13" s="31">
        <v>1826.0</v>
      </c>
      <c r="P13" s="13" t="s">
        <v>334</v>
      </c>
      <c r="Q13" s="41">
        <v>9525.0</v>
      </c>
    </row>
    <row r="14">
      <c r="A14" s="11" t="s">
        <v>709</v>
      </c>
      <c r="B14" s="31">
        <v>987.0</v>
      </c>
      <c r="P14" s="13" t="s">
        <v>336</v>
      </c>
      <c r="Q14" s="41">
        <v>5550.0</v>
      </c>
    </row>
    <row r="15">
      <c r="A15" s="11" t="s">
        <v>339</v>
      </c>
      <c r="B15" s="31">
        <v>224.0</v>
      </c>
      <c r="P15" s="13" t="s">
        <v>338</v>
      </c>
      <c r="Q15" s="41">
        <v>3987.0</v>
      </c>
    </row>
    <row r="16">
      <c r="A16" s="11" t="s">
        <v>341</v>
      </c>
      <c r="B16" s="31">
        <v>107.0</v>
      </c>
      <c r="P16" s="13" t="s">
        <v>340</v>
      </c>
      <c r="Q16" s="41">
        <v>3999.0</v>
      </c>
    </row>
    <row r="17">
      <c r="P17" s="13" t="s">
        <v>342</v>
      </c>
      <c r="Q17" s="41">
        <v>3098.0</v>
      </c>
    </row>
    <row r="18">
      <c r="P18" s="13" t="s">
        <v>343</v>
      </c>
      <c r="Q18" s="41">
        <v>1698.0</v>
      </c>
    </row>
    <row r="19">
      <c r="P19" s="13" t="s">
        <v>464</v>
      </c>
      <c r="Q19" s="41">
        <v>924.0</v>
      </c>
    </row>
    <row r="20">
      <c r="A20" s="28" t="s">
        <v>345</v>
      </c>
    </row>
    <row r="22">
      <c r="A22" s="1" t="s">
        <v>347</v>
      </c>
      <c r="P22" s="43" t="s">
        <v>346</v>
      </c>
    </row>
    <row r="23">
      <c r="A23" s="44" t="s">
        <v>332</v>
      </c>
      <c r="B23" s="44" t="s">
        <v>333</v>
      </c>
      <c r="P23" s="13" t="s">
        <v>348</v>
      </c>
      <c r="Q23" s="41">
        <v>15945.0</v>
      </c>
    </row>
    <row r="24">
      <c r="A24" s="11" t="s">
        <v>710</v>
      </c>
      <c r="B24" s="31">
        <v>1391.0</v>
      </c>
      <c r="P24" s="13" t="s">
        <v>349</v>
      </c>
      <c r="Q24" s="41">
        <v>5004.0</v>
      </c>
    </row>
    <row r="25">
      <c r="A25" s="11" t="s">
        <v>339</v>
      </c>
      <c r="B25" s="31">
        <v>483.0</v>
      </c>
      <c r="P25" s="13" t="s">
        <v>351</v>
      </c>
      <c r="Q25" s="41">
        <v>232.0</v>
      </c>
    </row>
    <row r="26">
      <c r="A26" s="11" t="s">
        <v>341</v>
      </c>
      <c r="B26" s="31">
        <v>74.0</v>
      </c>
      <c r="P26" s="13" t="s">
        <v>352</v>
      </c>
      <c r="Q26" s="41">
        <v>5.0</v>
      </c>
    </row>
    <row r="27">
      <c r="P27" s="13" t="s">
        <v>353</v>
      </c>
      <c r="Q27" s="41">
        <v>465.0</v>
      </c>
    </row>
    <row r="28">
      <c r="P28" s="13" t="s">
        <v>354</v>
      </c>
      <c r="Q28" s="41">
        <v>8125.0</v>
      </c>
    </row>
    <row r="29">
      <c r="P29" s="13" t="s">
        <v>355</v>
      </c>
      <c r="Q29" s="41">
        <v>2809.0</v>
      </c>
    </row>
    <row r="30">
      <c r="A30" s="1" t="s">
        <v>357</v>
      </c>
      <c r="P30" s="13" t="s">
        <v>356</v>
      </c>
      <c r="Q30" s="41">
        <v>665.0</v>
      </c>
    </row>
    <row r="31">
      <c r="A31" s="44" t="s">
        <v>332</v>
      </c>
      <c r="B31" s="44" t="s">
        <v>333</v>
      </c>
      <c r="P31" s="13" t="s">
        <v>358</v>
      </c>
      <c r="Q31" s="41">
        <v>138.0</v>
      </c>
    </row>
    <row r="32">
      <c r="A32" s="11" t="s">
        <v>708</v>
      </c>
      <c r="B32" s="31">
        <v>2645.0</v>
      </c>
      <c r="P32" s="13" t="s">
        <v>359</v>
      </c>
      <c r="Q32" s="41">
        <v>1129.0</v>
      </c>
    </row>
    <row r="33">
      <c r="A33" s="11" t="s">
        <v>700</v>
      </c>
      <c r="B33" s="31">
        <v>987.0</v>
      </c>
      <c r="P33" s="13" t="s">
        <v>360</v>
      </c>
      <c r="Q33" s="41">
        <v>109.0</v>
      </c>
    </row>
    <row r="34">
      <c r="A34" s="11" t="s">
        <v>339</v>
      </c>
      <c r="B34" s="31">
        <v>358.0</v>
      </c>
      <c r="P34" s="13" t="s">
        <v>361</v>
      </c>
      <c r="Q34" s="41">
        <v>996.0</v>
      </c>
    </row>
    <row r="35">
      <c r="A35" s="11" t="s">
        <v>341</v>
      </c>
      <c r="B35" s="31">
        <v>111.0</v>
      </c>
      <c r="P35" s="13" t="s">
        <v>363</v>
      </c>
      <c r="Q35" s="41">
        <v>395.0</v>
      </c>
    </row>
    <row r="36">
      <c r="P36" s="13" t="s">
        <v>364</v>
      </c>
      <c r="Q36" s="41">
        <v>1478.0</v>
      </c>
    </row>
    <row r="37">
      <c r="P37" s="13" t="s">
        <v>365</v>
      </c>
      <c r="Q37" s="41">
        <v>1278.0</v>
      </c>
    </row>
    <row r="38">
      <c r="P38" s="13" t="s">
        <v>366</v>
      </c>
      <c r="Q38" s="41">
        <v>584.0</v>
      </c>
    </row>
    <row r="39">
      <c r="P39" s="13" t="s">
        <v>367</v>
      </c>
      <c r="Q39" s="41">
        <v>409.0</v>
      </c>
    </row>
    <row r="40">
      <c r="P40" s="13" t="s">
        <v>368</v>
      </c>
      <c r="Q40" s="41">
        <v>2221.0</v>
      </c>
    </row>
    <row r="41">
      <c r="P41" s="13" t="s">
        <v>369</v>
      </c>
      <c r="Q41" s="41">
        <v>1413.0</v>
      </c>
    </row>
    <row r="42">
      <c r="P42" s="13" t="s">
        <v>370</v>
      </c>
      <c r="Q42" s="41">
        <v>26.0</v>
      </c>
    </row>
    <row r="45">
      <c r="P45" s="43" t="s">
        <v>372</v>
      </c>
    </row>
    <row r="46">
      <c r="P46" s="13" t="s">
        <v>373</v>
      </c>
      <c r="Q46" s="41">
        <v>0.26</v>
      </c>
    </row>
    <row r="47">
      <c r="P47" s="13" t="s">
        <v>465</v>
      </c>
      <c r="Q47" s="41">
        <v>0.345</v>
      </c>
    </row>
    <row r="48">
      <c r="P48" s="13" t="s">
        <v>466</v>
      </c>
      <c r="Q48" s="41">
        <v>0.2</v>
      </c>
    </row>
    <row r="49">
      <c r="P49" s="13" t="s">
        <v>467</v>
      </c>
      <c r="Q49" s="41">
        <v>0.085</v>
      </c>
    </row>
    <row r="50">
      <c r="P50" s="13" t="s">
        <v>377</v>
      </c>
      <c r="Q50" s="41">
        <v>0.109</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3"/>
    <col customWidth="1" min="13" max="13" width="53.13"/>
    <col customWidth="1" min="14" max="14" width="8.25"/>
  </cols>
  <sheetData>
    <row r="1">
      <c r="A1" s="28" t="s">
        <v>327</v>
      </c>
      <c r="N1" s="1" t="s">
        <v>457</v>
      </c>
      <c r="P1" s="28" t="s">
        <v>458</v>
      </c>
    </row>
    <row r="2">
      <c r="N2" s="41">
        <v>1473.6</v>
      </c>
      <c r="P2" s="1" t="s">
        <v>711</v>
      </c>
    </row>
    <row r="3">
      <c r="A3" s="1" t="s">
        <v>380</v>
      </c>
    </row>
    <row r="4">
      <c r="A4" s="44" t="s">
        <v>332</v>
      </c>
      <c r="B4" s="44" t="s">
        <v>333</v>
      </c>
      <c r="P4" s="13" t="s">
        <v>460</v>
      </c>
      <c r="Q4" s="41">
        <v>-5201.4</v>
      </c>
    </row>
    <row r="5">
      <c r="A5" s="11" t="s">
        <v>712</v>
      </c>
      <c r="B5" s="31">
        <v>751.0</v>
      </c>
      <c r="P5" s="13" t="s">
        <v>462</v>
      </c>
      <c r="Q5" s="41">
        <v>-187.4000000000001</v>
      </c>
    </row>
    <row r="6">
      <c r="A6" s="11" t="s">
        <v>339</v>
      </c>
      <c r="B6" s="31">
        <v>374.0</v>
      </c>
      <c r="P6" s="13" t="s">
        <v>463</v>
      </c>
      <c r="Q6" s="41">
        <v>-14063.039999999999</v>
      </c>
    </row>
    <row r="7">
      <c r="A7" s="11" t="s">
        <v>341</v>
      </c>
      <c r="B7" s="31">
        <v>39.0</v>
      </c>
    </row>
    <row r="10">
      <c r="P10" s="43" t="s">
        <v>328</v>
      </c>
    </row>
    <row r="11">
      <c r="A11" s="1" t="s">
        <v>330</v>
      </c>
      <c r="P11" s="13" t="s">
        <v>329</v>
      </c>
      <c r="Q11" s="41">
        <v>3626.0</v>
      </c>
    </row>
    <row r="12">
      <c r="A12" s="44" t="s">
        <v>332</v>
      </c>
      <c r="B12" s="44" t="s">
        <v>333</v>
      </c>
      <c r="P12" s="13" t="s">
        <v>331</v>
      </c>
      <c r="Q12" s="41">
        <v>5204.0</v>
      </c>
    </row>
    <row r="13">
      <c r="A13" s="11" t="s">
        <v>713</v>
      </c>
      <c r="B13" s="31">
        <v>1684.0</v>
      </c>
      <c r="P13" s="13" t="s">
        <v>334</v>
      </c>
      <c r="Q13" s="41">
        <v>4326.0</v>
      </c>
    </row>
    <row r="14">
      <c r="A14" s="11" t="s">
        <v>339</v>
      </c>
      <c r="B14" s="31">
        <v>357.0</v>
      </c>
      <c r="P14" s="13" t="s">
        <v>336</v>
      </c>
      <c r="Q14" s="41">
        <v>3413.0</v>
      </c>
    </row>
    <row r="15">
      <c r="A15" s="11" t="s">
        <v>341</v>
      </c>
      <c r="B15" s="31">
        <v>63.0</v>
      </c>
      <c r="P15" s="13" t="s">
        <v>338</v>
      </c>
      <c r="Q15" s="41">
        <v>3048.0</v>
      </c>
    </row>
    <row r="16">
      <c r="P16" s="13" t="s">
        <v>340</v>
      </c>
      <c r="Q16" s="41">
        <v>2430.0</v>
      </c>
    </row>
    <row r="17">
      <c r="P17" s="13" t="s">
        <v>342</v>
      </c>
      <c r="Q17" s="41">
        <v>2724.0</v>
      </c>
    </row>
    <row r="18">
      <c r="P18" s="13" t="s">
        <v>343</v>
      </c>
      <c r="Q18" s="41">
        <v>1244.0</v>
      </c>
    </row>
    <row r="19">
      <c r="A19" s="28" t="s">
        <v>345</v>
      </c>
      <c r="P19" s="13" t="s">
        <v>464</v>
      </c>
      <c r="Q19" s="41">
        <v>321.0</v>
      </c>
    </row>
    <row r="21">
      <c r="A21" s="1" t="s">
        <v>347</v>
      </c>
    </row>
    <row r="22">
      <c r="A22" s="44" t="s">
        <v>332</v>
      </c>
      <c r="B22" s="44" t="s">
        <v>333</v>
      </c>
      <c r="P22" s="43" t="s">
        <v>346</v>
      </c>
    </row>
    <row r="23">
      <c r="A23" s="11" t="s">
        <v>714</v>
      </c>
      <c r="B23" s="31">
        <v>1493.0</v>
      </c>
      <c r="P23" s="13" t="s">
        <v>348</v>
      </c>
      <c r="Q23" s="41">
        <v>9708.0</v>
      </c>
    </row>
    <row r="24">
      <c r="A24" s="11" t="s">
        <v>339</v>
      </c>
      <c r="B24" s="31">
        <v>623.0</v>
      </c>
      <c r="P24" s="13" t="s">
        <v>349</v>
      </c>
      <c r="Q24" s="41">
        <v>736.0</v>
      </c>
    </row>
    <row r="25">
      <c r="A25" s="11" t="s">
        <v>341</v>
      </c>
      <c r="B25" s="31">
        <v>61.0</v>
      </c>
      <c r="P25" s="13" t="s">
        <v>351</v>
      </c>
      <c r="Q25" s="41">
        <v>116.0</v>
      </c>
    </row>
    <row r="26">
      <c r="P26" s="13" t="s">
        <v>352</v>
      </c>
      <c r="Q26" s="41">
        <v>44.0</v>
      </c>
    </row>
    <row r="27">
      <c r="P27" s="13" t="s">
        <v>353</v>
      </c>
      <c r="Q27" s="41">
        <v>338.0</v>
      </c>
    </row>
    <row r="28">
      <c r="P28" s="13" t="s">
        <v>354</v>
      </c>
      <c r="Q28" s="41">
        <v>2437.0</v>
      </c>
    </row>
    <row r="29">
      <c r="A29" s="1" t="s">
        <v>357</v>
      </c>
      <c r="P29" s="13" t="s">
        <v>355</v>
      </c>
      <c r="Q29" s="41">
        <v>782.0</v>
      </c>
    </row>
    <row r="30">
      <c r="A30" s="44" t="s">
        <v>332</v>
      </c>
      <c r="B30" s="44" t="s">
        <v>333</v>
      </c>
      <c r="P30" s="13" t="s">
        <v>356</v>
      </c>
      <c r="Q30" s="41">
        <v>127.0</v>
      </c>
    </row>
    <row r="31">
      <c r="A31" s="11" t="s">
        <v>713</v>
      </c>
      <c r="B31" s="31">
        <v>2311.0</v>
      </c>
      <c r="P31" s="13" t="s">
        <v>358</v>
      </c>
      <c r="Q31" s="41">
        <v>22.0</v>
      </c>
    </row>
    <row r="32">
      <c r="A32" s="11" t="s">
        <v>339</v>
      </c>
      <c r="B32" s="31">
        <v>416.0</v>
      </c>
      <c r="P32" s="13" t="s">
        <v>359</v>
      </c>
      <c r="Q32" s="41">
        <v>352.0</v>
      </c>
    </row>
    <row r="33">
      <c r="A33" s="11" t="s">
        <v>341</v>
      </c>
      <c r="B33" s="31">
        <v>81.0</v>
      </c>
      <c r="P33" s="13" t="s">
        <v>360</v>
      </c>
      <c r="Q33" s="41">
        <v>15.0</v>
      </c>
    </row>
    <row r="34">
      <c r="P34" s="13" t="s">
        <v>361</v>
      </c>
      <c r="Q34" s="41">
        <v>1661.0</v>
      </c>
    </row>
    <row r="35">
      <c r="P35" s="13" t="s">
        <v>363</v>
      </c>
      <c r="Q35" s="41">
        <v>734.0</v>
      </c>
    </row>
    <row r="36">
      <c r="P36" s="13" t="s">
        <v>364</v>
      </c>
      <c r="Q36" s="41">
        <v>1584.0</v>
      </c>
    </row>
    <row r="37">
      <c r="P37" s="13" t="s">
        <v>365</v>
      </c>
      <c r="Q37" s="41">
        <v>540.0</v>
      </c>
    </row>
    <row r="38">
      <c r="P38" s="13" t="s">
        <v>366</v>
      </c>
      <c r="Q38" s="41">
        <v>341.0</v>
      </c>
    </row>
    <row r="39">
      <c r="P39" s="13" t="s">
        <v>367</v>
      </c>
      <c r="Q39" s="41">
        <v>70.0</v>
      </c>
    </row>
    <row r="40">
      <c r="P40" s="13" t="s">
        <v>368</v>
      </c>
      <c r="Q40" s="41">
        <v>1425.0</v>
      </c>
    </row>
    <row r="41">
      <c r="P41" s="13" t="s">
        <v>369</v>
      </c>
      <c r="Q41" s="41">
        <v>595.0</v>
      </c>
    </row>
    <row r="42">
      <c r="P42" s="13" t="s">
        <v>370</v>
      </c>
      <c r="Q42" s="41">
        <v>48.0</v>
      </c>
    </row>
    <row r="45">
      <c r="P45" s="43" t="s">
        <v>372</v>
      </c>
    </row>
    <row r="46">
      <c r="P46" s="13" t="s">
        <v>373</v>
      </c>
      <c r="Q46" s="41">
        <v>0.218</v>
      </c>
    </row>
    <row r="47">
      <c r="P47" s="13" t="s">
        <v>465</v>
      </c>
      <c r="Q47" s="41">
        <v>0.32599999999999996</v>
      </c>
    </row>
    <row r="48">
      <c r="P48" s="13" t="s">
        <v>466</v>
      </c>
      <c r="Q48" s="41">
        <v>0.215</v>
      </c>
    </row>
    <row r="49">
      <c r="P49" s="13" t="s">
        <v>467</v>
      </c>
      <c r="Q49" s="41">
        <v>0.095</v>
      </c>
    </row>
    <row r="50">
      <c r="P50" s="13" t="s">
        <v>377</v>
      </c>
      <c r="Q50" s="41">
        <v>0.146</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8.25"/>
  </cols>
  <sheetData>
    <row r="1">
      <c r="A1" s="28" t="s">
        <v>327</v>
      </c>
      <c r="N1" s="1" t="s">
        <v>457</v>
      </c>
      <c r="P1" s="28" t="s">
        <v>458</v>
      </c>
    </row>
    <row r="2">
      <c r="N2" s="41">
        <v>3405.6</v>
      </c>
      <c r="P2" s="1" t="s">
        <v>715</v>
      </c>
    </row>
    <row r="3">
      <c r="A3" s="1" t="s">
        <v>526</v>
      </c>
    </row>
    <row r="4">
      <c r="A4" s="44" t="s">
        <v>332</v>
      </c>
      <c r="B4" s="44" t="s">
        <v>333</v>
      </c>
      <c r="P4" s="13" t="s">
        <v>460</v>
      </c>
      <c r="Q4" s="41">
        <v>-439.4000000000001</v>
      </c>
    </row>
    <row r="5">
      <c r="A5" s="11" t="s">
        <v>716</v>
      </c>
      <c r="B5" s="31">
        <v>22.0</v>
      </c>
      <c r="P5" s="13" t="s">
        <v>462</v>
      </c>
      <c r="Q5" s="41">
        <v>1763.6</v>
      </c>
    </row>
    <row r="6">
      <c r="A6" s="11" t="s">
        <v>339</v>
      </c>
      <c r="B6" s="31">
        <v>8.0</v>
      </c>
      <c r="P6" s="13" t="s">
        <v>463</v>
      </c>
      <c r="Q6" s="41">
        <v>-6203.373</v>
      </c>
    </row>
    <row r="7">
      <c r="A7" s="11" t="s">
        <v>341</v>
      </c>
      <c r="B7" s="31">
        <v>41.0</v>
      </c>
    </row>
    <row r="10">
      <c r="P10" s="43" t="s">
        <v>328</v>
      </c>
    </row>
    <row r="11">
      <c r="A11" s="1" t="s">
        <v>330</v>
      </c>
      <c r="P11" s="13" t="s">
        <v>329</v>
      </c>
      <c r="Q11" s="41">
        <v>3096.0</v>
      </c>
    </row>
    <row r="12">
      <c r="A12" s="44" t="s">
        <v>332</v>
      </c>
      <c r="B12" s="44" t="s">
        <v>333</v>
      </c>
      <c r="P12" s="13" t="s">
        <v>331</v>
      </c>
      <c r="Q12" s="41">
        <v>2215.0</v>
      </c>
    </row>
    <row r="13">
      <c r="A13" s="11" t="s">
        <v>717</v>
      </c>
      <c r="B13" s="31">
        <v>4279.0</v>
      </c>
      <c r="P13" s="13" t="s">
        <v>334</v>
      </c>
      <c r="Q13" s="41">
        <v>3042.0</v>
      </c>
    </row>
    <row r="14">
      <c r="A14" s="11" t="s">
        <v>339</v>
      </c>
      <c r="B14" s="31">
        <v>712.0</v>
      </c>
      <c r="P14" s="13" t="s">
        <v>336</v>
      </c>
      <c r="Q14" s="41">
        <v>3582.0</v>
      </c>
    </row>
    <row r="15">
      <c r="A15" s="11" t="s">
        <v>341</v>
      </c>
      <c r="B15" s="31">
        <v>45.0</v>
      </c>
      <c r="P15" s="13" t="s">
        <v>338</v>
      </c>
      <c r="Q15" s="41">
        <v>2879.0</v>
      </c>
    </row>
    <row r="16">
      <c r="P16" s="13" t="s">
        <v>340</v>
      </c>
      <c r="Q16" s="41">
        <v>3901.0</v>
      </c>
    </row>
    <row r="17">
      <c r="P17" s="13" t="s">
        <v>342</v>
      </c>
      <c r="Q17" s="41">
        <v>3536.0</v>
      </c>
    </row>
    <row r="18">
      <c r="P18" s="13" t="s">
        <v>343</v>
      </c>
      <c r="Q18" s="41">
        <v>1822.0</v>
      </c>
    </row>
    <row r="19">
      <c r="A19" s="28" t="s">
        <v>345</v>
      </c>
      <c r="P19" s="13" t="s">
        <v>464</v>
      </c>
      <c r="Q19" s="41">
        <v>574.0</v>
      </c>
    </row>
    <row r="21">
      <c r="A21" s="1" t="s">
        <v>347</v>
      </c>
    </row>
    <row r="22">
      <c r="A22" s="44" t="s">
        <v>332</v>
      </c>
      <c r="B22" s="44" t="s">
        <v>333</v>
      </c>
      <c r="P22" s="43" t="s">
        <v>346</v>
      </c>
    </row>
    <row r="23">
      <c r="A23" s="11" t="s">
        <v>718</v>
      </c>
      <c r="B23" s="31">
        <v>1466.0</v>
      </c>
      <c r="P23" s="13" t="s">
        <v>348</v>
      </c>
      <c r="Q23" s="41">
        <v>5600.0</v>
      </c>
    </row>
    <row r="24">
      <c r="A24" s="11" t="s">
        <v>339</v>
      </c>
      <c r="B24" s="31">
        <v>778.0</v>
      </c>
      <c r="P24" s="13" t="s">
        <v>349</v>
      </c>
      <c r="Q24" s="41">
        <v>93.0</v>
      </c>
    </row>
    <row r="25">
      <c r="A25" s="11" t="s">
        <v>341</v>
      </c>
      <c r="B25" s="31">
        <v>42.0</v>
      </c>
      <c r="P25" s="13" t="s">
        <v>351</v>
      </c>
      <c r="Q25" s="41">
        <v>138.0</v>
      </c>
    </row>
    <row r="26">
      <c r="P26" s="13" t="s">
        <v>352</v>
      </c>
      <c r="Q26" s="41">
        <v>70.0</v>
      </c>
    </row>
    <row r="27">
      <c r="P27" s="13" t="s">
        <v>353</v>
      </c>
      <c r="Q27" s="41">
        <v>758.0</v>
      </c>
    </row>
    <row r="28">
      <c r="P28" s="13" t="s">
        <v>354</v>
      </c>
      <c r="Q28" s="41">
        <v>966.0</v>
      </c>
    </row>
    <row r="29">
      <c r="A29" s="1" t="s">
        <v>357</v>
      </c>
      <c r="P29" s="13" t="s">
        <v>355</v>
      </c>
      <c r="Q29" s="41">
        <v>4111.0</v>
      </c>
    </row>
    <row r="30">
      <c r="A30" s="44" t="s">
        <v>332</v>
      </c>
      <c r="B30" s="44" t="s">
        <v>333</v>
      </c>
      <c r="P30" s="13" t="s">
        <v>356</v>
      </c>
      <c r="Q30" s="41">
        <v>133.0</v>
      </c>
    </row>
    <row r="31">
      <c r="A31" s="11" t="s">
        <v>717</v>
      </c>
      <c r="B31" s="31">
        <v>5087.0</v>
      </c>
      <c r="P31" s="13" t="s">
        <v>358</v>
      </c>
      <c r="Q31" s="41">
        <v>177.0</v>
      </c>
    </row>
    <row r="32">
      <c r="A32" s="11" t="s">
        <v>339</v>
      </c>
      <c r="B32" s="31">
        <v>1165.0</v>
      </c>
      <c r="P32" s="13" t="s">
        <v>359</v>
      </c>
      <c r="Q32" s="41">
        <v>1459.0</v>
      </c>
    </row>
    <row r="33">
      <c r="A33" s="11" t="s">
        <v>341</v>
      </c>
      <c r="B33" s="31">
        <v>64.0</v>
      </c>
      <c r="P33" s="13" t="s">
        <v>360</v>
      </c>
      <c r="Q33" s="41">
        <v>71.0</v>
      </c>
    </row>
    <row r="34">
      <c r="P34" s="13" t="s">
        <v>361</v>
      </c>
      <c r="Q34" s="41">
        <v>1642.0</v>
      </c>
    </row>
    <row r="35">
      <c r="P35" s="13" t="s">
        <v>363</v>
      </c>
      <c r="Q35" s="41">
        <v>226.0</v>
      </c>
    </row>
    <row r="36">
      <c r="P36" s="13" t="s">
        <v>364</v>
      </c>
      <c r="Q36" s="41">
        <v>646.0</v>
      </c>
    </row>
    <row r="37">
      <c r="P37" s="13" t="s">
        <v>365</v>
      </c>
      <c r="Q37" s="41">
        <v>219.0</v>
      </c>
    </row>
    <row r="38">
      <c r="P38" s="13" t="s">
        <v>366</v>
      </c>
      <c r="Q38" s="41">
        <v>103.0</v>
      </c>
    </row>
    <row r="39">
      <c r="P39" s="13" t="s">
        <v>367</v>
      </c>
      <c r="Q39" s="41">
        <v>380.0</v>
      </c>
    </row>
    <row r="40">
      <c r="P40" s="13" t="s">
        <v>368</v>
      </c>
      <c r="Q40" s="41">
        <v>2030.0</v>
      </c>
    </row>
    <row r="41">
      <c r="P41" s="13" t="s">
        <v>369</v>
      </c>
      <c r="Q41" s="41">
        <v>368.0</v>
      </c>
    </row>
    <row r="42">
      <c r="P42" s="13" t="s">
        <v>370</v>
      </c>
      <c r="Q42" s="41">
        <v>0.0</v>
      </c>
    </row>
    <row r="45">
      <c r="P45" s="43" t="s">
        <v>372</v>
      </c>
    </row>
    <row r="46">
      <c r="P46" s="13" t="s">
        <v>373</v>
      </c>
      <c r="Q46" s="41">
        <v>0.148</v>
      </c>
    </row>
    <row r="47">
      <c r="P47" s="13" t="s">
        <v>465</v>
      </c>
      <c r="Q47" s="41">
        <v>0.215</v>
      </c>
    </row>
    <row r="48">
      <c r="P48" s="13" t="s">
        <v>466</v>
      </c>
      <c r="Q48" s="41">
        <v>0.209</v>
      </c>
    </row>
    <row r="49">
      <c r="P49" s="13" t="s">
        <v>467</v>
      </c>
      <c r="Q49" s="41">
        <v>0.144</v>
      </c>
    </row>
    <row r="50">
      <c r="P50" s="13" t="s">
        <v>377</v>
      </c>
      <c r="Q50" s="41">
        <v>0.285</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5.13"/>
    <col customWidth="1" min="13" max="13" width="53.13"/>
    <col customWidth="1" min="14" max="14" width="8.25"/>
  </cols>
  <sheetData>
    <row r="1">
      <c r="A1" s="28" t="s">
        <v>327</v>
      </c>
      <c r="N1" s="1" t="s">
        <v>457</v>
      </c>
      <c r="P1" s="28" t="s">
        <v>458</v>
      </c>
    </row>
    <row r="2">
      <c r="N2" s="41">
        <v>3419.7</v>
      </c>
      <c r="P2" s="1" t="s">
        <v>719</v>
      </c>
    </row>
    <row r="3">
      <c r="A3" s="1" t="s">
        <v>380</v>
      </c>
    </row>
    <row r="4">
      <c r="A4" s="44" t="s">
        <v>332</v>
      </c>
      <c r="B4" s="44" t="s">
        <v>333</v>
      </c>
      <c r="P4" s="13" t="s">
        <v>460</v>
      </c>
      <c r="Q4" s="41">
        <v>-1968.3000000000002</v>
      </c>
    </row>
    <row r="5">
      <c r="A5" s="11" t="s">
        <v>720</v>
      </c>
      <c r="B5" s="31">
        <v>776.0</v>
      </c>
      <c r="P5" s="13" t="s">
        <v>462</v>
      </c>
      <c r="Q5" s="41">
        <v>1228.6999999999998</v>
      </c>
    </row>
    <row r="6">
      <c r="A6" s="11" t="s">
        <v>339</v>
      </c>
      <c r="B6" s="31">
        <v>460.0</v>
      </c>
      <c r="P6" s="13" t="s">
        <v>463</v>
      </c>
      <c r="Q6" s="41">
        <v>-6543.615999999999</v>
      </c>
    </row>
    <row r="7">
      <c r="A7" s="11" t="s">
        <v>341</v>
      </c>
      <c r="B7" s="31">
        <v>43.0</v>
      </c>
    </row>
    <row r="10">
      <c r="P10" s="43" t="s">
        <v>328</v>
      </c>
    </row>
    <row r="11">
      <c r="A11" s="1" t="s">
        <v>330</v>
      </c>
      <c r="P11" s="13" t="s">
        <v>329</v>
      </c>
      <c r="Q11" s="41">
        <v>2534.0</v>
      </c>
    </row>
    <row r="12">
      <c r="A12" s="44" t="s">
        <v>332</v>
      </c>
      <c r="B12" s="44" t="s">
        <v>333</v>
      </c>
      <c r="P12" s="13" t="s">
        <v>331</v>
      </c>
      <c r="Q12" s="41">
        <v>2517.0</v>
      </c>
    </row>
    <row r="13">
      <c r="A13" s="11" t="s">
        <v>721</v>
      </c>
      <c r="B13" s="31">
        <v>3874.0</v>
      </c>
      <c r="P13" s="13" t="s">
        <v>334</v>
      </c>
      <c r="Q13" s="41">
        <v>4033.0</v>
      </c>
    </row>
    <row r="14">
      <c r="A14" s="11" t="s">
        <v>722</v>
      </c>
      <c r="B14" s="31">
        <v>598.0</v>
      </c>
      <c r="P14" s="13" t="s">
        <v>336</v>
      </c>
      <c r="Q14" s="41">
        <v>3166.0</v>
      </c>
    </row>
    <row r="15">
      <c r="A15" s="11" t="s">
        <v>339</v>
      </c>
      <c r="B15" s="31">
        <v>337.0</v>
      </c>
      <c r="P15" s="13" t="s">
        <v>338</v>
      </c>
      <c r="Q15" s="41">
        <v>2793.0</v>
      </c>
    </row>
    <row r="16">
      <c r="A16" s="11" t="s">
        <v>341</v>
      </c>
      <c r="B16" s="31">
        <v>99.0</v>
      </c>
      <c r="P16" s="13" t="s">
        <v>340</v>
      </c>
      <c r="Q16" s="41">
        <v>4109.0</v>
      </c>
    </row>
    <row r="17">
      <c r="P17" s="13" t="s">
        <v>342</v>
      </c>
      <c r="Q17" s="41">
        <v>3277.0</v>
      </c>
    </row>
    <row r="18">
      <c r="P18" s="13" t="s">
        <v>343</v>
      </c>
      <c r="Q18" s="41">
        <v>1789.0</v>
      </c>
    </row>
    <row r="19">
      <c r="P19" s="13" t="s">
        <v>464</v>
      </c>
      <c r="Q19" s="41">
        <v>1358.0</v>
      </c>
    </row>
    <row r="20">
      <c r="A20" s="28" t="s">
        <v>345</v>
      </c>
    </row>
    <row r="22">
      <c r="A22" s="1" t="s">
        <v>347</v>
      </c>
      <c r="P22" s="43" t="s">
        <v>346</v>
      </c>
    </row>
    <row r="23">
      <c r="A23" s="44" t="s">
        <v>332</v>
      </c>
      <c r="B23" s="44" t="s">
        <v>333</v>
      </c>
      <c r="P23" s="13" t="s">
        <v>348</v>
      </c>
      <c r="Q23" s="41">
        <v>3823.0</v>
      </c>
    </row>
    <row r="24">
      <c r="A24" s="11" t="s">
        <v>723</v>
      </c>
      <c r="B24" s="31">
        <v>1204.0</v>
      </c>
      <c r="P24" s="13" t="s">
        <v>349</v>
      </c>
      <c r="Q24" s="41">
        <v>85.0</v>
      </c>
    </row>
    <row r="25">
      <c r="A25" s="11" t="s">
        <v>339</v>
      </c>
      <c r="B25" s="31">
        <v>598.0</v>
      </c>
      <c r="P25" s="13" t="s">
        <v>351</v>
      </c>
      <c r="Q25" s="41">
        <v>34.0</v>
      </c>
    </row>
    <row r="26">
      <c r="A26" s="11" t="s">
        <v>341</v>
      </c>
      <c r="B26" s="31">
        <v>63.0</v>
      </c>
      <c r="P26" s="13" t="s">
        <v>352</v>
      </c>
      <c r="Q26" s="41">
        <v>21.0</v>
      </c>
    </row>
    <row r="27">
      <c r="P27" s="13" t="s">
        <v>353</v>
      </c>
      <c r="Q27" s="41">
        <v>939.0</v>
      </c>
    </row>
    <row r="28">
      <c r="P28" s="13" t="s">
        <v>354</v>
      </c>
      <c r="Q28" s="41">
        <v>1526.0</v>
      </c>
    </row>
    <row r="29">
      <c r="P29" s="13" t="s">
        <v>355</v>
      </c>
      <c r="Q29" s="41">
        <v>6744.0</v>
      </c>
    </row>
    <row r="30">
      <c r="A30" s="1" t="s">
        <v>357</v>
      </c>
      <c r="P30" s="13" t="s">
        <v>356</v>
      </c>
      <c r="Q30" s="41">
        <v>150.0</v>
      </c>
    </row>
    <row r="31">
      <c r="A31" s="44" t="s">
        <v>332</v>
      </c>
      <c r="B31" s="44" t="s">
        <v>333</v>
      </c>
      <c r="P31" s="13" t="s">
        <v>358</v>
      </c>
      <c r="Q31" s="41">
        <v>61.0</v>
      </c>
    </row>
    <row r="32">
      <c r="A32" s="11" t="s">
        <v>721</v>
      </c>
      <c r="B32" s="31">
        <v>4995.0</v>
      </c>
      <c r="P32" s="13" t="s">
        <v>359</v>
      </c>
      <c r="Q32" s="41">
        <v>1880.0</v>
      </c>
    </row>
    <row r="33">
      <c r="A33" s="11" t="s">
        <v>722</v>
      </c>
      <c r="B33" s="31">
        <v>612.0</v>
      </c>
      <c r="P33" s="13" t="s">
        <v>360</v>
      </c>
      <c r="Q33" s="41">
        <v>28.0</v>
      </c>
    </row>
    <row r="34">
      <c r="A34" s="11" t="s">
        <v>724</v>
      </c>
      <c r="B34" s="31">
        <v>345.0</v>
      </c>
      <c r="P34" s="13" t="s">
        <v>361</v>
      </c>
      <c r="Q34" s="41">
        <v>2191.0</v>
      </c>
    </row>
    <row r="35">
      <c r="A35" s="11" t="s">
        <v>339</v>
      </c>
      <c r="B35" s="31">
        <v>461.0</v>
      </c>
      <c r="P35" s="13" t="s">
        <v>363</v>
      </c>
      <c r="Q35" s="41">
        <v>142.0</v>
      </c>
    </row>
    <row r="36">
      <c r="A36" s="11" t="s">
        <v>341</v>
      </c>
      <c r="B36" s="31">
        <v>78.0</v>
      </c>
      <c r="P36" s="13" t="s">
        <v>364</v>
      </c>
      <c r="Q36" s="41">
        <v>320.0</v>
      </c>
    </row>
    <row r="37">
      <c r="P37" s="13" t="s">
        <v>365</v>
      </c>
      <c r="Q37" s="41">
        <v>348.0</v>
      </c>
    </row>
    <row r="38">
      <c r="P38" s="13" t="s">
        <v>366</v>
      </c>
      <c r="Q38" s="41">
        <v>44.0</v>
      </c>
    </row>
    <row r="39">
      <c r="P39" s="13" t="s">
        <v>367</v>
      </c>
      <c r="Q39" s="41">
        <v>83.0</v>
      </c>
    </row>
    <row r="40">
      <c r="P40" s="13" t="s">
        <v>368</v>
      </c>
      <c r="Q40" s="41">
        <v>1736.0</v>
      </c>
    </row>
    <row r="41">
      <c r="P41" s="13" t="s">
        <v>369</v>
      </c>
      <c r="Q41" s="41">
        <v>229.0</v>
      </c>
    </row>
    <row r="42">
      <c r="P42" s="13" t="s">
        <v>370</v>
      </c>
      <c r="Q42" s="41">
        <v>2.0</v>
      </c>
    </row>
    <row r="45">
      <c r="P45" s="43" t="s">
        <v>372</v>
      </c>
    </row>
    <row r="46">
      <c r="P46" s="13" t="s">
        <v>373</v>
      </c>
      <c r="Q46" s="41">
        <v>0.181</v>
      </c>
    </row>
    <row r="47">
      <c r="P47" s="13" t="s">
        <v>465</v>
      </c>
      <c r="Q47" s="41">
        <v>0.186</v>
      </c>
    </row>
    <row r="48">
      <c r="P48" s="13" t="s">
        <v>466</v>
      </c>
      <c r="Q48" s="41">
        <v>0.219</v>
      </c>
    </row>
    <row r="49">
      <c r="P49" s="13" t="s">
        <v>467</v>
      </c>
      <c r="Q49" s="41">
        <v>0.16</v>
      </c>
    </row>
    <row r="50">
      <c r="P50" s="13" t="s">
        <v>377</v>
      </c>
      <c r="Q50" s="41">
        <v>0.253</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9.13"/>
  </cols>
  <sheetData>
    <row r="1">
      <c r="A1" s="28" t="s">
        <v>327</v>
      </c>
      <c r="N1" s="1" t="s">
        <v>457</v>
      </c>
      <c r="P1" s="28" t="s">
        <v>458</v>
      </c>
    </row>
    <row r="2">
      <c r="N2" s="41">
        <v>4206.599999999999</v>
      </c>
      <c r="P2" s="1" t="s">
        <v>725</v>
      </c>
    </row>
    <row r="3">
      <c r="A3" s="1" t="s">
        <v>380</v>
      </c>
    </row>
    <row r="4">
      <c r="A4" s="44" t="s">
        <v>332</v>
      </c>
      <c r="B4" s="44" t="s">
        <v>333</v>
      </c>
      <c r="P4" s="13" t="s">
        <v>460</v>
      </c>
      <c r="Q4" s="41">
        <v>-6971.400000000001</v>
      </c>
    </row>
    <row r="5">
      <c r="A5" s="11" t="s">
        <v>726</v>
      </c>
      <c r="B5" s="31">
        <v>1028.0</v>
      </c>
      <c r="P5" s="13" t="s">
        <v>462</v>
      </c>
      <c r="Q5" s="41">
        <v>3094.5999999999995</v>
      </c>
    </row>
    <row r="6">
      <c r="A6" s="11" t="s">
        <v>339</v>
      </c>
      <c r="B6" s="31">
        <v>437.0</v>
      </c>
      <c r="P6" s="13" t="s">
        <v>463</v>
      </c>
      <c r="Q6" s="41">
        <v>-12495.946000000004</v>
      </c>
    </row>
    <row r="7">
      <c r="A7" s="11" t="s">
        <v>341</v>
      </c>
      <c r="B7" s="31">
        <v>59.0</v>
      </c>
    </row>
    <row r="10">
      <c r="P10" s="43" t="s">
        <v>328</v>
      </c>
    </row>
    <row r="11">
      <c r="A11" s="1" t="s">
        <v>330</v>
      </c>
      <c r="P11" s="13" t="s">
        <v>329</v>
      </c>
      <c r="Q11" s="41">
        <v>4950.0</v>
      </c>
    </row>
    <row r="12">
      <c r="A12" s="44" t="s">
        <v>332</v>
      </c>
      <c r="B12" s="44" t="s">
        <v>333</v>
      </c>
      <c r="P12" s="13" t="s">
        <v>331</v>
      </c>
      <c r="Q12" s="41">
        <v>6879.0</v>
      </c>
    </row>
    <row r="13">
      <c r="A13" s="11" t="s">
        <v>727</v>
      </c>
      <c r="B13" s="31">
        <v>3597.0</v>
      </c>
      <c r="P13" s="13" t="s">
        <v>334</v>
      </c>
      <c r="Q13" s="41">
        <v>6083.0</v>
      </c>
    </row>
    <row r="14">
      <c r="A14" s="11" t="s">
        <v>728</v>
      </c>
      <c r="B14" s="31">
        <v>2532.0</v>
      </c>
      <c r="P14" s="13" t="s">
        <v>336</v>
      </c>
      <c r="Q14" s="41">
        <v>5146.0</v>
      </c>
    </row>
    <row r="15">
      <c r="A15" s="11" t="s">
        <v>339</v>
      </c>
      <c r="B15" s="31">
        <v>285.0</v>
      </c>
      <c r="P15" s="13" t="s">
        <v>338</v>
      </c>
      <c r="Q15" s="41">
        <v>3535.0</v>
      </c>
    </row>
    <row r="16">
      <c r="A16" s="11" t="s">
        <v>341</v>
      </c>
      <c r="B16" s="31">
        <v>167.0</v>
      </c>
      <c r="P16" s="13" t="s">
        <v>340</v>
      </c>
      <c r="Q16" s="41">
        <v>3915.0</v>
      </c>
    </row>
    <row r="17">
      <c r="P17" s="13" t="s">
        <v>342</v>
      </c>
      <c r="Q17" s="41">
        <v>3727.0</v>
      </c>
    </row>
    <row r="18">
      <c r="P18" s="13" t="s">
        <v>343</v>
      </c>
      <c r="Q18" s="41">
        <v>2225.0</v>
      </c>
    </row>
    <row r="19">
      <c r="P19" s="13" t="s">
        <v>464</v>
      </c>
      <c r="Q19" s="41">
        <v>1330.0</v>
      </c>
    </row>
    <row r="20">
      <c r="A20" s="28" t="s">
        <v>345</v>
      </c>
    </row>
    <row r="22">
      <c r="A22" s="1" t="s">
        <v>347</v>
      </c>
      <c r="P22" s="43" t="s">
        <v>346</v>
      </c>
    </row>
    <row r="23">
      <c r="A23" s="44" t="s">
        <v>332</v>
      </c>
      <c r="B23" s="44" t="s">
        <v>333</v>
      </c>
      <c r="P23" s="13" t="s">
        <v>348</v>
      </c>
      <c r="Q23" s="41">
        <v>20043.0</v>
      </c>
    </row>
    <row r="24">
      <c r="A24" s="11" t="s">
        <v>729</v>
      </c>
      <c r="B24" s="31">
        <v>1530.0</v>
      </c>
      <c r="P24" s="13" t="s">
        <v>349</v>
      </c>
      <c r="Q24" s="41">
        <v>840.0</v>
      </c>
    </row>
    <row r="25">
      <c r="A25" s="11" t="s">
        <v>339</v>
      </c>
      <c r="B25" s="31">
        <v>565.0</v>
      </c>
      <c r="P25" s="13" t="s">
        <v>351</v>
      </c>
      <c r="Q25" s="41">
        <v>160.0</v>
      </c>
    </row>
    <row r="26">
      <c r="A26" s="11" t="s">
        <v>341</v>
      </c>
      <c r="B26" s="31">
        <v>54.0</v>
      </c>
      <c r="P26" s="13" t="s">
        <v>352</v>
      </c>
      <c r="Q26" s="41">
        <v>91.0</v>
      </c>
    </row>
    <row r="27">
      <c r="P27" s="13" t="s">
        <v>353</v>
      </c>
      <c r="Q27" s="41">
        <v>891.0</v>
      </c>
    </row>
    <row r="28">
      <c r="P28" s="13" t="s">
        <v>354</v>
      </c>
      <c r="Q28" s="41">
        <v>1382.0</v>
      </c>
    </row>
    <row r="29">
      <c r="P29" s="13" t="s">
        <v>355</v>
      </c>
      <c r="Q29" s="41">
        <v>3099.0</v>
      </c>
    </row>
    <row r="30">
      <c r="A30" s="1" t="s">
        <v>357</v>
      </c>
      <c r="P30" s="13" t="s">
        <v>356</v>
      </c>
      <c r="Q30" s="41">
        <v>293.0</v>
      </c>
    </row>
    <row r="31">
      <c r="A31" s="44" t="s">
        <v>332</v>
      </c>
      <c r="B31" s="44" t="s">
        <v>333</v>
      </c>
      <c r="P31" s="13" t="s">
        <v>358</v>
      </c>
      <c r="Q31" s="41">
        <v>259.0</v>
      </c>
    </row>
    <row r="32">
      <c r="A32" s="11" t="s">
        <v>728</v>
      </c>
      <c r="B32" s="31">
        <v>3088.0</v>
      </c>
      <c r="P32" s="13" t="s">
        <v>359</v>
      </c>
      <c r="Q32" s="41">
        <v>941.0</v>
      </c>
    </row>
    <row r="33">
      <c r="A33" s="11" t="s">
        <v>730</v>
      </c>
      <c r="B33" s="31">
        <v>2845.0</v>
      </c>
      <c r="P33" s="13" t="s">
        <v>360</v>
      </c>
      <c r="Q33" s="41">
        <v>44.0</v>
      </c>
    </row>
    <row r="34">
      <c r="A34" s="11" t="s">
        <v>731</v>
      </c>
      <c r="B34" s="31">
        <v>283.0</v>
      </c>
      <c r="P34" s="13" t="s">
        <v>361</v>
      </c>
      <c r="Q34" s="41">
        <v>1112.0</v>
      </c>
    </row>
    <row r="35">
      <c r="A35" s="11" t="s">
        <v>732</v>
      </c>
      <c r="B35" s="31">
        <v>167.0</v>
      </c>
      <c r="P35" s="13" t="s">
        <v>363</v>
      </c>
      <c r="Q35" s="41">
        <v>33.0</v>
      </c>
    </row>
    <row r="36">
      <c r="A36" s="11" t="s">
        <v>339</v>
      </c>
      <c r="B36" s="31">
        <v>949.0</v>
      </c>
      <c r="P36" s="13" t="s">
        <v>364</v>
      </c>
      <c r="Q36" s="41">
        <v>194.0</v>
      </c>
    </row>
    <row r="37">
      <c r="A37" s="11" t="s">
        <v>341</v>
      </c>
      <c r="B37" s="31">
        <v>109.0</v>
      </c>
      <c r="P37" s="13" t="s">
        <v>365</v>
      </c>
      <c r="Q37" s="41">
        <v>1153.0</v>
      </c>
    </row>
    <row r="38">
      <c r="P38" s="13" t="s">
        <v>366</v>
      </c>
      <c r="Q38" s="41">
        <v>312.0</v>
      </c>
    </row>
    <row r="39">
      <c r="P39" s="13" t="s">
        <v>367</v>
      </c>
      <c r="Q39" s="41">
        <v>332.0</v>
      </c>
    </row>
    <row r="40">
      <c r="P40" s="13" t="s">
        <v>368</v>
      </c>
      <c r="Q40" s="41">
        <v>2681.0</v>
      </c>
    </row>
    <row r="41">
      <c r="P41" s="13" t="s">
        <v>369</v>
      </c>
      <c r="Q41" s="41">
        <v>897.0</v>
      </c>
    </row>
    <row r="42">
      <c r="P42" s="13" t="s">
        <v>370</v>
      </c>
      <c r="Q42" s="41">
        <v>0.0</v>
      </c>
    </row>
    <row r="45">
      <c r="P45" s="43" t="s">
        <v>372</v>
      </c>
    </row>
    <row r="46">
      <c r="P46" s="13" t="s">
        <v>373</v>
      </c>
      <c r="Q46" s="41">
        <v>0.16</v>
      </c>
    </row>
    <row r="47">
      <c r="P47" s="13" t="s">
        <v>465</v>
      </c>
      <c r="Q47" s="41">
        <v>0.253</v>
      </c>
    </row>
    <row r="48">
      <c r="P48" s="13" t="s">
        <v>466</v>
      </c>
      <c r="Q48" s="41">
        <v>0.196</v>
      </c>
    </row>
    <row r="49">
      <c r="P49" s="13" t="s">
        <v>467</v>
      </c>
      <c r="Q49" s="41">
        <v>0.131</v>
      </c>
    </row>
    <row r="50">
      <c r="P50" s="13" t="s">
        <v>377</v>
      </c>
      <c r="Q50" s="41">
        <v>0.261</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13"/>
    <col customWidth="1" min="13" max="13" width="53.13"/>
    <col customWidth="1" min="14" max="14" width="8.25"/>
  </cols>
  <sheetData>
    <row r="1">
      <c r="A1" s="28" t="s">
        <v>327</v>
      </c>
      <c r="N1" s="1" t="s">
        <v>457</v>
      </c>
      <c r="P1" s="28" t="s">
        <v>458</v>
      </c>
    </row>
    <row r="2">
      <c r="N2" s="41">
        <v>1516.2</v>
      </c>
      <c r="P2" s="1" t="s">
        <v>733</v>
      </c>
    </row>
    <row r="3">
      <c r="A3" s="1" t="s">
        <v>330</v>
      </c>
    </row>
    <row r="4">
      <c r="A4" s="44" t="s">
        <v>332</v>
      </c>
      <c r="B4" s="44" t="s">
        <v>333</v>
      </c>
      <c r="I4" s="17">
        <f>sum(B5:B8)+0</f>
        <v>5054</v>
      </c>
      <c r="P4" s="13" t="s">
        <v>460</v>
      </c>
      <c r="Q4" s="41">
        <v>-2851.8</v>
      </c>
    </row>
    <row r="5">
      <c r="A5" s="11" t="s">
        <v>734</v>
      </c>
      <c r="B5" s="31">
        <v>3290.0</v>
      </c>
      <c r="I5" s="17">
        <f>I4/2</f>
        <v>2527</v>
      </c>
      <c r="P5" s="13" t="s">
        <v>462</v>
      </c>
      <c r="Q5" s="41">
        <v>-2447.8</v>
      </c>
    </row>
    <row r="6">
      <c r="A6" s="11" t="s">
        <v>735</v>
      </c>
      <c r="B6" s="31">
        <v>1223.0</v>
      </c>
      <c r="I6" s="17">
        <f>I5*1.2</f>
        <v>3032.4</v>
      </c>
      <c r="P6" s="13" t="s">
        <v>463</v>
      </c>
      <c r="Q6" s="41">
        <v>-7506.625000000001</v>
      </c>
    </row>
    <row r="7">
      <c r="A7" s="11" t="s">
        <v>339</v>
      </c>
      <c r="B7" s="31">
        <v>398.0</v>
      </c>
      <c r="I7" s="17">
        <f>I6/2</f>
        <v>1516.2</v>
      </c>
    </row>
    <row r="8">
      <c r="A8" s="11" t="s">
        <v>341</v>
      </c>
      <c r="B8" s="31">
        <v>143.0</v>
      </c>
    </row>
    <row r="10">
      <c r="P10" s="43" t="s">
        <v>328</v>
      </c>
    </row>
    <row r="11">
      <c r="P11" s="13" t="s">
        <v>329</v>
      </c>
      <c r="Q11" s="41">
        <v>3697.0</v>
      </c>
    </row>
    <row r="12">
      <c r="A12" s="28" t="s">
        <v>345</v>
      </c>
      <c r="P12" s="13" t="s">
        <v>331</v>
      </c>
      <c r="Q12" s="41">
        <v>2925.0</v>
      </c>
    </row>
    <row r="13">
      <c r="P13" s="13" t="s">
        <v>334</v>
      </c>
      <c r="Q13" s="41">
        <v>2949.0</v>
      </c>
    </row>
    <row r="14">
      <c r="A14" s="1" t="s">
        <v>347</v>
      </c>
      <c r="P14" s="13" t="s">
        <v>336</v>
      </c>
      <c r="Q14" s="41">
        <v>3746.0</v>
      </c>
    </row>
    <row r="15">
      <c r="A15" s="1" t="s">
        <v>332</v>
      </c>
      <c r="B15" s="1" t="s">
        <v>333</v>
      </c>
      <c r="P15" s="13" t="s">
        <v>338</v>
      </c>
      <c r="Q15" s="41">
        <v>3588.0</v>
      </c>
    </row>
    <row r="16">
      <c r="A16" s="13" t="s">
        <v>736</v>
      </c>
      <c r="B16" s="41">
        <v>1540.0</v>
      </c>
      <c r="P16" s="13" t="s">
        <v>340</v>
      </c>
      <c r="Q16" s="41">
        <v>3112.0</v>
      </c>
    </row>
    <row r="17">
      <c r="A17" s="13" t="s">
        <v>339</v>
      </c>
      <c r="B17" s="41">
        <v>383.0</v>
      </c>
      <c r="P17" s="13" t="s">
        <v>342</v>
      </c>
      <c r="Q17" s="41">
        <v>3281.0</v>
      </c>
    </row>
    <row r="18">
      <c r="A18" s="13" t="s">
        <v>341</v>
      </c>
      <c r="B18" s="41">
        <v>66.0</v>
      </c>
      <c r="P18" s="13" t="s">
        <v>343</v>
      </c>
      <c r="Q18" s="41">
        <v>1678.0</v>
      </c>
    </row>
    <row r="19">
      <c r="P19" s="13" t="s">
        <v>464</v>
      </c>
      <c r="Q19" s="41">
        <v>881.0</v>
      </c>
    </row>
    <row r="22">
      <c r="P22" s="43" t="s">
        <v>346</v>
      </c>
    </row>
    <row r="23">
      <c r="P23" s="13" t="s">
        <v>348</v>
      </c>
      <c r="Q23" s="41">
        <v>7616.0</v>
      </c>
    </row>
    <row r="24">
      <c r="P24" s="13" t="s">
        <v>349</v>
      </c>
      <c r="Q24" s="41">
        <v>110.0</v>
      </c>
    </row>
    <row r="25">
      <c r="P25" s="13" t="s">
        <v>351</v>
      </c>
      <c r="Q25" s="41">
        <v>33.0</v>
      </c>
    </row>
    <row r="26">
      <c r="P26" s="13" t="s">
        <v>352</v>
      </c>
      <c r="Q26" s="41">
        <v>17.0</v>
      </c>
    </row>
    <row r="27">
      <c r="P27" s="13" t="s">
        <v>353</v>
      </c>
      <c r="Q27" s="41">
        <v>758.0</v>
      </c>
    </row>
    <row r="28">
      <c r="P28" s="13" t="s">
        <v>354</v>
      </c>
      <c r="Q28" s="41">
        <v>981.0</v>
      </c>
    </row>
    <row r="29">
      <c r="P29" s="13" t="s">
        <v>355</v>
      </c>
      <c r="Q29" s="41">
        <v>2316.0</v>
      </c>
    </row>
    <row r="30">
      <c r="P30" s="13" t="s">
        <v>356</v>
      </c>
      <c r="Q30" s="41">
        <v>217.0</v>
      </c>
    </row>
    <row r="31">
      <c r="P31" s="13" t="s">
        <v>358</v>
      </c>
      <c r="Q31" s="41">
        <v>142.0</v>
      </c>
    </row>
    <row r="32">
      <c r="P32" s="13" t="s">
        <v>359</v>
      </c>
      <c r="Q32" s="41">
        <v>978.0</v>
      </c>
    </row>
    <row r="33">
      <c r="P33" s="13" t="s">
        <v>360</v>
      </c>
      <c r="Q33" s="41">
        <v>0.0</v>
      </c>
    </row>
    <row r="34">
      <c r="P34" s="13" t="s">
        <v>361</v>
      </c>
      <c r="Q34" s="41">
        <v>3964.0</v>
      </c>
    </row>
    <row r="35">
      <c r="P35" s="13" t="s">
        <v>363</v>
      </c>
      <c r="Q35" s="41">
        <v>83.0</v>
      </c>
    </row>
    <row r="36">
      <c r="P36" s="13" t="s">
        <v>364</v>
      </c>
      <c r="Q36" s="41">
        <v>103.0</v>
      </c>
    </row>
    <row r="37">
      <c r="P37" s="13" t="s">
        <v>365</v>
      </c>
      <c r="Q37" s="41">
        <v>285.0</v>
      </c>
    </row>
    <row r="38">
      <c r="P38" s="13" t="s">
        <v>366</v>
      </c>
      <c r="Q38" s="41">
        <v>188.0</v>
      </c>
    </row>
    <row r="39">
      <c r="P39" s="13" t="s">
        <v>367</v>
      </c>
      <c r="Q39" s="41">
        <v>164.0</v>
      </c>
    </row>
    <row r="40">
      <c r="P40" s="13" t="s">
        <v>368</v>
      </c>
      <c r="Q40" s="41">
        <v>2028.0</v>
      </c>
    </row>
    <row r="41">
      <c r="P41" s="13" t="s">
        <v>369</v>
      </c>
      <c r="Q41" s="41">
        <v>276.0</v>
      </c>
    </row>
    <row r="42">
      <c r="P42" s="13" t="s">
        <v>370</v>
      </c>
      <c r="Q42" s="41">
        <v>0.0</v>
      </c>
    </row>
    <row r="45">
      <c r="P45" s="43" t="s">
        <v>372</v>
      </c>
    </row>
    <row r="46">
      <c r="P46" s="13" t="s">
        <v>373</v>
      </c>
      <c r="Q46" s="41">
        <v>0.156</v>
      </c>
    </row>
    <row r="47">
      <c r="P47" s="13" t="s">
        <v>465</v>
      </c>
      <c r="Q47" s="41">
        <v>0.173</v>
      </c>
    </row>
    <row r="48">
      <c r="P48" s="13" t="s">
        <v>466</v>
      </c>
      <c r="Q48" s="41">
        <v>0.179</v>
      </c>
    </row>
    <row r="49">
      <c r="P49" s="13" t="s">
        <v>467</v>
      </c>
      <c r="Q49" s="41">
        <v>0.164</v>
      </c>
    </row>
    <row r="50">
      <c r="P50" s="13" t="s">
        <v>377</v>
      </c>
      <c r="Q50" s="41">
        <v>0.328</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6.38"/>
    <col customWidth="1" min="13" max="14" width="53.13"/>
  </cols>
  <sheetData>
    <row r="1">
      <c r="A1" s="28" t="s">
        <v>327</v>
      </c>
      <c r="K1" s="1" t="s">
        <v>457</v>
      </c>
      <c r="M1" s="28" t="s">
        <v>458</v>
      </c>
    </row>
    <row r="2">
      <c r="K2" s="41">
        <v>140598.6</v>
      </c>
      <c r="M2" s="1" t="s">
        <v>737</v>
      </c>
    </row>
    <row r="3">
      <c r="A3" s="1" t="s">
        <v>526</v>
      </c>
    </row>
    <row r="4">
      <c r="A4" s="44" t="s">
        <v>332</v>
      </c>
      <c r="B4" s="44" t="s">
        <v>333</v>
      </c>
      <c r="M4" s="13" t="s">
        <v>460</v>
      </c>
      <c r="N4" s="41" t="e">
        <v>#NUM!</v>
      </c>
    </row>
    <row r="5">
      <c r="A5" s="11" t="s">
        <v>738</v>
      </c>
      <c r="B5" s="31">
        <v>1342.0</v>
      </c>
      <c r="M5" s="13" t="s">
        <v>462</v>
      </c>
      <c r="N5" s="41" t="e">
        <v>#NUM!</v>
      </c>
    </row>
    <row r="6">
      <c r="A6" s="11" t="s">
        <v>339</v>
      </c>
      <c r="B6" s="31">
        <v>296.0</v>
      </c>
      <c r="M6" s="13" t="s">
        <v>463</v>
      </c>
      <c r="N6" s="41" t="e">
        <v>#NUM!</v>
      </c>
    </row>
    <row r="7">
      <c r="A7" s="11" t="s">
        <v>341</v>
      </c>
      <c r="B7" s="31">
        <v>4137.0</v>
      </c>
    </row>
    <row r="10">
      <c r="M10" s="43" t="s">
        <v>328</v>
      </c>
    </row>
    <row r="11">
      <c r="A11" s="1" t="s">
        <v>380</v>
      </c>
      <c r="M11" s="13" t="s">
        <v>329</v>
      </c>
      <c r="N11" s="13" t="s">
        <v>329</v>
      </c>
    </row>
    <row r="12">
      <c r="A12" s="44" t="s">
        <v>332</v>
      </c>
      <c r="B12" s="44" t="s">
        <v>333</v>
      </c>
      <c r="M12" s="13" t="s">
        <v>331</v>
      </c>
      <c r="N12" s="13" t="s">
        <v>331</v>
      </c>
    </row>
    <row r="13">
      <c r="A13" s="11" t="s">
        <v>739</v>
      </c>
      <c r="B13" s="31">
        <v>27961.0</v>
      </c>
      <c r="M13" s="13" t="s">
        <v>334</v>
      </c>
      <c r="N13" s="13" t="s">
        <v>334</v>
      </c>
    </row>
    <row r="14">
      <c r="A14" s="11" t="s">
        <v>453</v>
      </c>
      <c r="B14" s="31">
        <v>8913.0</v>
      </c>
      <c r="M14" s="13" t="s">
        <v>336</v>
      </c>
      <c r="N14" s="13" t="s">
        <v>336</v>
      </c>
    </row>
    <row r="15">
      <c r="A15" s="11" t="s">
        <v>740</v>
      </c>
      <c r="B15" s="31">
        <v>7627.0</v>
      </c>
      <c r="M15" s="13" t="s">
        <v>338</v>
      </c>
      <c r="N15" s="13" t="s">
        <v>338</v>
      </c>
    </row>
    <row r="16">
      <c r="A16" s="11" t="s">
        <v>741</v>
      </c>
      <c r="B16" s="31">
        <v>4006.0</v>
      </c>
      <c r="M16" s="13" t="s">
        <v>340</v>
      </c>
      <c r="N16" s="13" t="s">
        <v>340</v>
      </c>
    </row>
    <row r="17">
      <c r="A17" s="11" t="s">
        <v>742</v>
      </c>
      <c r="B17" s="31">
        <v>3319.0</v>
      </c>
      <c r="M17" s="13" t="s">
        <v>342</v>
      </c>
      <c r="N17" s="13" t="s">
        <v>342</v>
      </c>
    </row>
    <row r="18">
      <c r="A18" s="11" t="s">
        <v>743</v>
      </c>
      <c r="B18" s="31">
        <v>2075.0</v>
      </c>
      <c r="M18" s="13" t="s">
        <v>343</v>
      </c>
      <c r="N18" s="13" t="s">
        <v>343</v>
      </c>
    </row>
    <row r="19">
      <c r="A19" s="11" t="s">
        <v>339</v>
      </c>
      <c r="B19" s="31">
        <v>4900.0</v>
      </c>
      <c r="M19" s="13" t="s">
        <v>464</v>
      </c>
      <c r="N19" s="13" t="s">
        <v>464</v>
      </c>
    </row>
    <row r="20">
      <c r="A20" s="11" t="s">
        <v>341</v>
      </c>
      <c r="B20" s="31">
        <v>3316.0</v>
      </c>
    </row>
    <row r="22">
      <c r="M22" s="43" t="s">
        <v>346</v>
      </c>
    </row>
    <row r="23">
      <c r="M23" s="13" t="s">
        <v>348</v>
      </c>
      <c r="N23" s="13" t="s">
        <v>348</v>
      </c>
    </row>
    <row r="24">
      <c r="A24" s="1" t="s">
        <v>330</v>
      </c>
      <c r="M24" s="13" t="s">
        <v>349</v>
      </c>
      <c r="N24" s="13" t="s">
        <v>349</v>
      </c>
    </row>
    <row r="25">
      <c r="A25" s="44" t="s">
        <v>332</v>
      </c>
      <c r="B25" s="44" t="s">
        <v>333</v>
      </c>
      <c r="M25" s="13" t="s">
        <v>351</v>
      </c>
      <c r="N25" s="13" t="s">
        <v>351</v>
      </c>
    </row>
    <row r="26">
      <c r="A26" s="11" t="s">
        <v>744</v>
      </c>
      <c r="B26" s="31">
        <v>176131.0</v>
      </c>
      <c r="M26" s="13" t="s">
        <v>352</v>
      </c>
      <c r="N26" s="13" t="s">
        <v>352</v>
      </c>
    </row>
    <row r="27">
      <c r="A27" s="11" t="s">
        <v>745</v>
      </c>
      <c r="B27" s="31">
        <v>14271.0</v>
      </c>
      <c r="M27" s="13" t="s">
        <v>353</v>
      </c>
      <c r="N27" s="13" t="s">
        <v>353</v>
      </c>
    </row>
    <row r="28">
      <c r="A28" s="11" t="s">
        <v>746</v>
      </c>
      <c r="B28" s="31">
        <v>4287.0</v>
      </c>
      <c r="M28" s="13" t="s">
        <v>354</v>
      </c>
      <c r="N28" s="13" t="s">
        <v>354</v>
      </c>
    </row>
    <row r="29">
      <c r="A29" s="11" t="s">
        <v>339</v>
      </c>
      <c r="B29" s="31">
        <v>8481.0</v>
      </c>
      <c r="M29" s="13" t="s">
        <v>355</v>
      </c>
      <c r="N29" s="13" t="s">
        <v>355</v>
      </c>
    </row>
    <row r="30">
      <c r="A30" s="11" t="s">
        <v>341</v>
      </c>
      <c r="B30" s="31">
        <v>4905.0</v>
      </c>
      <c r="M30" s="13" t="s">
        <v>356</v>
      </c>
      <c r="N30" s="13" t="s">
        <v>356</v>
      </c>
    </row>
    <row r="31">
      <c r="M31" s="13" t="s">
        <v>358</v>
      </c>
      <c r="N31" s="13" t="s">
        <v>358</v>
      </c>
    </row>
    <row r="32">
      <c r="M32" s="13" t="s">
        <v>359</v>
      </c>
      <c r="N32" s="13" t="s">
        <v>359</v>
      </c>
    </row>
    <row r="33">
      <c r="M33" s="13" t="s">
        <v>360</v>
      </c>
      <c r="N33" s="13" t="s">
        <v>360</v>
      </c>
    </row>
    <row r="34">
      <c r="A34" s="1" t="s">
        <v>747</v>
      </c>
      <c r="M34" s="13" t="s">
        <v>361</v>
      </c>
      <c r="N34" s="13" t="s">
        <v>361</v>
      </c>
    </row>
    <row r="35">
      <c r="A35" s="44" t="s">
        <v>332</v>
      </c>
      <c r="B35" s="44" t="s">
        <v>333</v>
      </c>
      <c r="M35" s="13" t="s">
        <v>363</v>
      </c>
      <c r="N35" s="13" t="s">
        <v>363</v>
      </c>
    </row>
    <row r="36">
      <c r="A36" s="11" t="s">
        <v>748</v>
      </c>
      <c r="B36" s="31">
        <v>966.0</v>
      </c>
      <c r="M36" s="13" t="s">
        <v>364</v>
      </c>
      <c r="N36" s="13" t="s">
        <v>364</v>
      </c>
    </row>
    <row r="37">
      <c r="A37" s="11" t="s">
        <v>339</v>
      </c>
      <c r="B37" s="31">
        <v>1220.0</v>
      </c>
      <c r="M37" s="13" t="s">
        <v>365</v>
      </c>
      <c r="N37" s="13" t="s">
        <v>365</v>
      </c>
    </row>
    <row r="38">
      <c r="A38" s="11" t="s">
        <v>341</v>
      </c>
      <c r="B38" s="31">
        <v>3946.0</v>
      </c>
      <c r="M38" s="13" t="s">
        <v>366</v>
      </c>
      <c r="N38" s="13" t="s">
        <v>366</v>
      </c>
    </row>
    <row r="39">
      <c r="M39" s="13" t="s">
        <v>367</v>
      </c>
      <c r="N39" s="13" t="s">
        <v>367</v>
      </c>
    </row>
    <row r="40">
      <c r="M40" s="13" t="s">
        <v>368</v>
      </c>
      <c r="N40" s="13" t="s">
        <v>368</v>
      </c>
    </row>
    <row r="41">
      <c r="M41" s="13" t="s">
        <v>369</v>
      </c>
      <c r="N41" s="13" t="s">
        <v>369</v>
      </c>
    </row>
    <row r="42">
      <c r="A42" s="1" t="s">
        <v>669</v>
      </c>
      <c r="M42" s="13" t="s">
        <v>370</v>
      </c>
      <c r="N42" s="13" t="s">
        <v>370</v>
      </c>
    </row>
    <row r="43">
      <c r="A43" s="44" t="s">
        <v>332</v>
      </c>
      <c r="B43" s="44" t="s">
        <v>333</v>
      </c>
    </row>
    <row r="44">
      <c r="A44" s="11" t="s">
        <v>749</v>
      </c>
      <c r="B44" s="31">
        <v>977.0</v>
      </c>
    </row>
    <row r="45">
      <c r="A45" s="11" t="s">
        <v>339</v>
      </c>
      <c r="B45" s="31">
        <v>187.0</v>
      </c>
      <c r="M45" s="43" t="s">
        <v>372</v>
      </c>
    </row>
    <row r="46">
      <c r="A46" s="11" t="s">
        <v>341</v>
      </c>
      <c r="B46" s="31">
        <v>3455.0</v>
      </c>
      <c r="M46" s="13" t="s">
        <v>373</v>
      </c>
      <c r="N46" s="13" t="s">
        <v>373</v>
      </c>
    </row>
    <row r="47">
      <c r="M47" s="13" t="s">
        <v>465</v>
      </c>
      <c r="N47" s="13" t="s">
        <v>465</v>
      </c>
    </row>
    <row r="48">
      <c r="M48" s="13" t="s">
        <v>466</v>
      </c>
      <c r="N48" s="13" t="s">
        <v>466</v>
      </c>
    </row>
    <row r="49">
      <c r="M49" s="13" t="s">
        <v>467</v>
      </c>
      <c r="N49" s="13" t="s">
        <v>467</v>
      </c>
    </row>
    <row r="50">
      <c r="A50" s="28" t="s">
        <v>345</v>
      </c>
      <c r="M50" s="13" t="s">
        <v>377</v>
      </c>
      <c r="N50" s="13" t="s">
        <v>377</v>
      </c>
    </row>
    <row r="52">
      <c r="A52" s="1" t="s">
        <v>388</v>
      </c>
    </row>
    <row r="53">
      <c r="A53" s="44" t="s">
        <v>332</v>
      </c>
      <c r="B53" s="44" t="s">
        <v>333</v>
      </c>
    </row>
    <row r="54">
      <c r="A54" s="11" t="s">
        <v>750</v>
      </c>
      <c r="B54" s="31">
        <v>1245.0</v>
      </c>
    </row>
    <row r="55">
      <c r="A55" s="11" t="s">
        <v>339</v>
      </c>
      <c r="B55" s="31">
        <v>487.0</v>
      </c>
    </row>
    <row r="56">
      <c r="A56" s="11" t="s">
        <v>341</v>
      </c>
      <c r="B56" s="31">
        <v>3718.0</v>
      </c>
    </row>
    <row r="60">
      <c r="A60" s="1" t="s">
        <v>479</v>
      </c>
    </row>
    <row r="61">
      <c r="A61" s="44" t="s">
        <v>332</v>
      </c>
      <c r="B61" s="44" t="s">
        <v>333</v>
      </c>
    </row>
    <row r="62">
      <c r="A62" s="11" t="s">
        <v>751</v>
      </c>
      <c r="B62" s="31">
        <v>987.0</v>
      </c>
    </row>
    <row r="63">
      <c r="A63" s="11" t="s">
        <v>339</v>
      </c>
      <c r="B63" s="31">
        <v>313.0</v>
      </c>
    </row>
    <row r="64">
      <c r="A64" s="11" t="s">
        <v>341</v>
      </c>
      <c r="B64" s="31">
        <v>3098.0</v>
      </c>
    </row>
    <row r="68">
      <c r="A68" s="1" t="s">
        <v>347</v>
      </c>
    </row>
    <row r="69">
      <c r="A69" s="44" t="s">
        <v>332</v>
      </c>
      <c r="B69" s="44" t="s">
        <v>333</v>
      </c>
    </row>
    <row r="70">
      <c r="A70" s="11" t="s">
        <v>739</v>
      </c>
      <c r="B70" s="31">
        <v>25686.0</v>
      </c>
    </row>
    <row r="71">
      <c r="A71" s="11" t="s">
        <v>752</v>
      </c>
      <c r="B71" s="31">
        <v>17158.0</v>
      </c>
    </row>
    <row r="72">
      <c r="A72" s="11" t="s">
        <v>596</v>
      </c>
      <c r="B72" s="31">
        <v>9497.0</v>
      </c>
    </row>
    <row r="73">
      <c r="A73" s="11" t="s">
        <v>753</v>
      </c>
      <c r="B73" s="31">
        <v>6407.0</v>
      </c>
    </row>
    <row r="74">
      <c r="A74" s="11" t="s">
        <v>754</v>
      </c>
      <c r="B74" s="31">
        <v>6187.0</v>
      </c>
    </row>
    <row r="75">
      <c r="A75" s="11" t="s">
        <v>339</v>
      </c>
      <c r="B75" s="31">
        <v>12237.0</v>
      </c>
    </row>
    <row r="76">
      <c r="A76" s="11" t="s">
        <v>341</v>
      </c>
      <c r="B76" s="31">
        <v>3480.0</v>
      </c>
    </row>
    <row r="80">
      <c r="A80" s="1" t="s">
        <v>487</v>
      </c>
    </row>
    <row r="81">
      <c r="A81" s="44" t="s">
        <v>332</v>
      </c>
      <c r="B81" s="44" t="s">
        <v>333</v>
      </c>
    </row>
    <row r="82">
      <c r="A82" s="11" t="s">
        <v>755</v>
      </c>
      <c r="B82" s="31">
        <v>515.0</v>
      </c>
    </row>
    <row r="83">
      <c r="A83" s="11" t="s">
        <v>339</v>
      </c>
      <c r="B83" s="31">
        <v>227.0</v>
      </c>
    </row>
    <row r="84">
      <c r="A84" s="11" t="s">
        <v>341</v>
      </c>
      <c r="B84" s="31">
        <v>5412.0</v>
      </c>
    </row>
    <row r="88">
      <c r="A88" s="1" t="s">
        <v>357</v>
      </c>
    </row>
    <row r="89">
      <c r="A89" s="44" t="s">
        <v>332</v>
      </c>
      <c r="B89" s="44" t="s">
        <v>333</v>
      </c>
    </row>
    <row r="90">
      <c r="A90" s="11" t="s">
        <v>756</v>
      </c>
      <c r="B90" s="31">
        <v>228595.0</v>
      </c>
    </row>
    <row r="91">
      <c r="A91" s="11" t="s">
        <v>757</v>
      </c>
      <c r="B91" s="31">
        <v>15725.0</v>
      </c>
    </row>
    <row r="92">
      <c r="A92" s="11" t="s">
        <v>339</v>
      </c>
      <c r="B92" s="31">
        <v>11032.0</v>
      </c>
    </row>
    <row r="93">
      <c r="A93" s="11" t="s">
        <v>341</v>
      </c>
      <c r="B93" s="31">
        <v>5235.0</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6.38"/>
    <col customWidth="1" min="13" max="14" width="53.13"/>
  </cols>
  <sheetData>
    <row r="1">
      <c r="A1" s="28" t="s">
        <v>327</v>
      </c>
      <c r="K1" s="1" t="s">
        <v>457</v>
      </c>
      <c r="M1" s="28" t="s">
        <v>458</v>
      </c>
    </row>
    <row r="2">
      <c r="K2" s="41">
        <v>70194.9</v>
      </c>
      <c r="M2" s="1" t="s">
        <v>737</v>
      </c>
    </row>
    <row r="3">
      <c r="A3" s="1" t="s">
        <v>380</v>
      </c>
    </row>
    <row r="4">
      <c r="A4" s="44" t="s">
        <v>332</v>
      </c>
      <c r="B4" s="44" t="s">
        <v>333</v>
      </c>
      <c r="M4" s="13" t="s">
        <v>460</v>
      </c>
      <c r="N4" s="41" t="e">
        <v>#NUM!</v>
      </c>
    </row>
    <row r="5">
      <c r="A5" s="11" t="s">
        <v>758</v>
      </c>
      <c r="B5" s="31">
        <v>17368.0</v>
      </c>
      <c r="M5" s="13" t="s">
        <v>462</v>
      </c>
      <c r="N5" s="41" t="e">
        <v>#NUM!</v>
      </c>
    </row>
    <row r="6">
      <c r="A6" s="11" t="s">
        <v>339</v>
      </c>
      <c r="B6" s="31">
        <v>10623.0</v>
      </c>
      <c r="M6" s="13" t="s">
        <v>463</v>
      </c>
      <c r="N6" s="41" t="e">
        <v>#NUM!</v>
      </c>
    </row>
    <row r="7">
      <c r="A7" s="11" t="s">
        <v>341</v>
      </c>
      <c r="B7" s="31">
        <v>1365.0</v>
      </c>
    </row>
    <row r="10">
      <c r="M10" s="43" t="s">
        <v>328</v>
      </c>
    </row>
    <row r="11">
      <c r="A11" s="1" t="s">
        <v>330</v>
      </c>
      <c r="M11" s="13" t="s">
        <v>329</v>
      </c>
      <c r="N11" s="13" t="s">
        <v>329</v>
      </c>
    </row>
    <row r="12">
      <c r="A12" s="44" t="s">
        <v>332</v>
      </c>
      <c r="B12" s="44" t="s">
        <v>333</v>
      </c>
      <c r="M12" s="13" t="s">
        <v>331</v>
      </c>
      <c r="N12" s="13" t="s">
        <v>331</v>
      </c>
    </row>
    <row r="13">
      <c r="A13" s="11" t="s">
        <v>759</v>
      </c>
      <c r="B13" s="31">
        <v>84114.0</v>
      </c>
      <c r="M13" s="13" t="s">
        <v>334</v>
      </c>
      <c r="N13" s="13" t="s">
        <v>334</v>
      </c>
    </row>
    <row r="14">
      <c r="A14" s="11" t="s">
        <v>760</v>
      </c>
      <c r="B14" s="31">
        <v>7308.0</v>
      </c>
      <c r="M14" s="13" t="s">
        <v>336</v>
      </c>
      <c r="N14" s="13" t="s">
        <v>336</v>
      </c>
    </row>
    <row r="15">
      <c r="A15" s="11" t="s">
        <v>339</v>
      </c>
      <c r="B15" s="31">
        <v>7725.0</v>
      </c>
      <c r="M15" s="13" t="s">
        <v>338</v>
      </c>
      <c r="N15" s="13" t="s">
        <v>338</v>
      </c>
    </row>
    <row r="16">
      <c r="A16" s="11" t="s">
        <v>341</v>
      </c>
      <c r="B16" s="31">
        <v>2955.0</v>
      </c>
      <c r="M16" s="13" t="s">
        <v>340</v>
      </c>
      <c r="N16" s="13" t="s">
        <v>340</v>
      </c>
    </row>
    <row r="17">
      <c r="M17" s="13" t="s">
        <v>342</v>
      </c>
      <c r="N17" s="13" t="s">
        <v>342</v>
      </c>
    </row>
    <row r="18">
      <c r="M18" s="13" t="s">
        <v>343</v>
      </c>
      <c r="N18" s="13" t="s">
        <v>343</v>
      </c>
    </row>
    <row r="19">
      <c r="M19" s="13" t="s">
        <v>464</v>
      </c>
      <c r="N19" s="13" t="s">
        <v>464</v>
      </c>
    </row>
    <row r="20">
      <c r="A20" s="1" t="s">
        <v>747</v>
      </c>
    </row>
    <row r="21">
      <c r="A21" s="44" t="s">
        <v>332</v>
      </c>
      <c r="B21" s="44" t="s">
        <v>333</v>
      </c>
    </row>
    <row r="22">
      <c r="A22" s="11" t="s">
        <v>761</v>
      </c>
      <c r="B22" s="31">
        <v>409.0</v>
      </c>
      <c r="M22" s="43" t="s">
        <v>346</v>
      </c>
    </row>
    <row r="23">
      <c r="A23" s="11" t="s">
        <v>339</v>
      </c>
      <c r="B23" s="31">
        <v>439.0</v>
      </c>
      <c r="M23" s="13" t="s">
        <v>348</v>
      </c>
      <c r="N23" s="13" t="s">
        <v>348</v>
      </c>
    </row>
    <row r="24">
      <c r="A24" s="11" t="s">
        <v>341</v>
      </c>
      <c r="B24" s="31">
        <v>2189.0</v>
      </c>
      <c r="M24" s="13" t="s">
        <v>349</v>
      </c>
      <c r="N24" s="13" t="s">
        <v>349</v>
      </c>
    </row>
    <row r="25">
      <c r="M25" s="13" t="s">
        <v>351</v>
      </c>
      <c r="N25" s="13" t="s">
        <v>351</v>
      </c>
    </row>
    <row r="26">
      <c r="M26" s="13" t="s">
        <v>352</v>
      </c>
      <c r="N26" s="13" t="s">
        <v>352</v>
      </c>
    </row>
    <row r="27">
      <c r="M27" s="13" t="s">
        <v>353</v>
      </c>
      <c r="N27" s="13" t="s">
        <v>353</v>
      </c>
    </row>
    <row r="28">
      <c r="A28" s="28" t="s">
        <v>345</v>
      </c>
      <c r="M28" s="13" t="s">
        <v>354</v>
      </c>
      <c r="N28" s="13" t="s">
        <v>354</v>
      </c>
    </row>
    <row r="29">
      <c r="M29" s="13" t="s">
        <v>355</v>
      </c>
      <c r="N29" s="13" t="s">
        <v>355</v>
      </c>
    </row>
    <row r="30">
      <c r="A30" s="1" t="s">
        <v>485</v>
      </c>
      <c r="M30" s="13" t="s">
        <v>356</v>
      </c>
      <c r="N30" s="13" t="s">
        <v>356</v>
      </c>
    </row>
    <row r="31">
      <c r="A31" s="44" t="s">
        <v>332</v>
      </c>
      <c r="B31" s="44" t="s">
        <v>333</v>
      </c>
      <c r="M31" s="13" t="s">
        <v>358</v>
      </c>
      <c r="N31" s="13" t="s">
        <v>358</v>
      </c>
    </row>
    <row r="32">
      <c r="A32" s="11" t="s">
        <v>762</v>
      </c>
      <c r="B32" s="31">
        <v>270.0</v>
      </c>
      <c r="M32" s="13" t="s">
        <v>359</v>
      </c>
      <c r="N32" s="13" t="s">
        <v>359</v>
      </c>
    </row>
    <row r="33">
      <c r="A33" s="11" t="s">
        <v>763</v>
      </c>
      <c r="B33" s="31">
        <v>234.0</v>
      </c>
      <c r="M33" s="13" t="s">
        <v>360</v>
      </c>
      <c r="N33" s="13" t="s">
        <v>360</v>
      </c>
    </row>
    <row r="34">
      <c r="A34" s="11" t="s">
        <v>339</v>
      </c>
      <c r="B34" s="31">
        <v>465.0</v>
      </c>
      <c r="M34" s="13" t="s">
        <v>361</v>
      </c>
      <c r="N34" s="13" t="s">
        <v>361</v>
      </c>
    </row>
    <row r="35">
      <c r="A35" s="11" t="s">
        <v>341</v>
      </c>
      <c r="B35" s="31">
        <v>1955.0</v>
      </c>
      <c r="M35" s="13" t="s">
        <v>363</v>
      </c>
      <c r="N35" s="13" t="s">
        <v>363</v>
      </c>
    </row>
    <row r="36">
      <c r="M36" s="13" t="s">
        <v>364</v>
      </c>
      <c r="N36" s="13" t="s">
        <v>364</v>
      </c>
    </row>
    <row r="37">
      <c r="M37" s="13" t="s">
        <v>365</v>
      </c>
      <c r="N37" s="13" t="s">
        <v>365</v>
      </c>
    </row>
    <row r="38">
      <c r="M38" s="13" t="s">
        <v>366</v>
      </c>
      <c r="N38" s="13" t="s">
        <v>366</v>
      </c>
    </row>
    <row r="39">
      <c r="A39" s="1" t="s">
        <v>347</v>
      </c>
      <c r="M39" s="13" t="s">
        <v>367</v>
      </c>
      <c r="N39" s="13" t="s">
        <v>367</v>
      </c>
    </row>
    <row r="40">
      <c r="A40" s="44" t="s">
        <v>332</v>
      </c>
      <c r="B40" s="44" t="s">
        <v>333</v>
      </c>
      <c r="M40" s="13" t="s">
        <v>368</v>
      </c>
      <c r="N40" s="13" t="s">
        <v>368</v>
      </c>
    </row>
    <row r="41">
      <c r="A41" s="11" t="s">
        <v>764</v>
      </c>
      <c r="B41" s="31">
        <v>13449.0</v>
      </c>
      <c r="M41" s="13" t="s">
        <v>369</v>
      </c>
      <c r="N41" s="13" t="s">
        <v>369</v>
      </c>
    </row>
    <row r="42">
      <c r="A42" s="11" t="s">
        <v>742</v>
      </c>
      <c r="B42" s="31">
        <v>7465.0</v>
      </c>
      <c r="M42" s="13" t="s">
        <v>370</v>
      </c>
      <c r="N42" s="13" t="s">
        <v>370</v>
      </c>
    </row>
    <row r="43">
      <c r="A43" s="11" t="s">
        <v>758</v>
      </c>
      <c r="B43" s="31">
        <v>5785.0</v>
      </c>
    </row>
    <row r="44">
      <c r="A44" s="11" t="s">
        <v>339</v>
      </c>
      <c r="B44" s="31">
        <v>9065.0</v>
      </c>
    </row>
    <row r="45">
      <c r="A45" s="11" t="s">
        <v>341</v>
      </c>
      <c r="B45" s="31">
        <v>1557.0</v>
      </c>
      <c r="M45" s="43" t="s">
        <v>372</v>
      </c>
    </row>
    <row r="46">
      <c r="M46" s="13" t="s">
        <v>373</v>
      </c>
      <c r="N46" s="13" t="s">
        <v>373</v>
      </c>
    </row>
    <row r="47">
      <c r="M47" s="13" t="s">
        <v>465</v>
      </c>
      <c r="N47" s="13" t="s">
        <v>465</v>
      </c>
    </row>
    <row r="48">
      <c r="M48" s="13" t="s">
        <v>466</v>
      </c>
      <c r="N48" s="13" t="s">
        <v>466</v>
      </c>
    </row>
    <row r="49">
      <c r="A49" s="1" t="s">
        <v>357</v>
      </c>
      <c r="M49" s="13" t="s">
        <v>467</v>
      </c>
      <c r="N49" s="13" t="s">
        <v>467</v>
      </c>
    </row>
    <row r="50">
      <c r="A50" s="44" t="s">
        <v>332</v>
      </c>
      <c r="B50" s="44" t="s">
        <v>333</v>
      </c>
      <c r="M50" s="13" t="s">
        <v>377</v>
      </c>
      <c r="N50" s="13" t="s">
        <v>377</v>
      </c>
    </row>
    <row r="51">
      <c r="A51" s="11" t="s">
        <v>759</v>
      </c>
      <c r="B51" s="31">
        <v>100667.0</v>
      </c>
    </row>
    <row r="52">
      <c r="A52" s="11" t="s">
        <v>765</v>
      </c>
      <c r="B52" s="31">
        <v>20364.0</v>
      </c>
    </row>
    <row r="53">
      <c r="A53" s="11" t="s">
        <v>339</v>
      </c>
      <c r="B53" s="31">
        <v>8461.0</v>
      </c>
    </row>
    <row r="54">
      <c r="A54" s="11" t="s">
        <v>341</v>
      </c>
      <c r="B54" s="31">
        <v>2389.0</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5.5"/>
    <col customWidth="1" min="13" max="14" width="53.13"/>
  </cols>
  <sheetData>
    <row r="1">
      <c r="A1" s="28" t="s">
        <v>327</v>
      </c>
      <c r="K1" s="1" t="s">
        <v>457</v>
      </c>
      <c r="M1" s="28" t="s">
        <v>458</v>
      </c>
    </row>
    <row r="2">
      <c r="K2" s="41">
        <v>31815.0</v>
      </c>
      <c r="M2" s="1" t="s">
        <v>737</v>
      </c>
    </row>
    <row r="3">
      <c r="A3" s="1" t="s">
        <v>380</v>
      </c>
    </row>
    <row r="4">
      <c r="A4" s="44" t="s">
        <v>332</v>
      </c>
      <c r="B4" s="44" t="s">
        <v>333</v>
      </c>
      <c r="M4" s="13" t="s">
        <v>460</v>
      </c>
      <c r="N4" s="41" t="e">
        <v>#NUM!</v>
      </c>
    </row>
    <row r="5">
      <c r="A5" s="11" t="s">
        <v>766</v>
      </c>
      <c r="B5" s="31">
        <v>19627.0</v>
      </c>
      <c r="M5" s="13" t="s">
        <v>462</v>
      </c>
      <c r="N5" s="41" t="e">
        <v>#NUM!</v>
      </c>
    </row>
    <row r="6">
      <c r="A6" s="11" t="s">
        <v>339</v>
      </c>
      <c r="B6" s="31">
        <v>11289.0</v>
      </c>
      <c r="M6" s="13" t="s">
        <v>463</v>
      </c>
      <c r="N6" s="41" t="e">
        <v>#NUM!</v>
      </c>
    </row>
    <row r="7">
      <c r="A7" s="11" t="s">
        <v>341</v>
      </c>
      <c r="B7" s="31">
        <v>1672.0</v>
      </c>
    </row>
    <row r="10">
      <c r="M10" s="43" t="s">
        <v>328</v>
      </c>
    </row>
    <row r="11">
      <c r="A11" s="1" t="s">
        <v>330</v>
      </c>
      <c r="M11" s="13" t="s">
        <v>329</v>
      </c>
      <c r="N11" s="13" t="s">
        <v>329</v>
      </c>
    </row>
    <row r="12">
      <c r="A12" s="44" t="s">
        <v>332</v>
      </c>
      <c r="B12" s="44" t="s">
        <v>333</v>
      </c>
      <c r="M12" s="13" t="s">
        <v>331</v>
      </c>
      <c r="N12" s="13" t="s">
        <v>331</v>
      </c>
    </row>
    <row r="13">
      <c r="A13" s="11" t="s">
        <v>767</v>
      </c>
      <c r="B13" s="31">
        <v>84978.0</v>
      </c>
      <c r="M13" s="13" t="s">
        <v>334</v>
      </c>
      <c r="N13" s="13" t="s">
        <v>334</v>
      </c>
    </row>
    <row r="14">
      <c r="A14" s="11" t="s">
        <v>339</v>
      </c>
      <c r="B14" s="31">
        <v>19159.0</v>
      </c>
      <c r="M14" s="13" t="s">
        <v>336</v>
      </c>
      <c r="N14" s="13" t="s">
        <v>336</v>
      </c>
    </row>
    <row r="15">
      <c r="A15" s="11" t="s">
        <v>341</v>
      </c>
      <c r="B15" s="31">
        <v>1913.0</v>
      </c>
      <c r="M15" s="13" t="s">
        <v>338</v>
      </c>
      <c r="N15" s="13" t="s">
        <v>338</v>
      </c>
    </row>
    <row r="16">
      <c r="M16" s="13" t="s">
        <v>340</v>
      </c>
      <c r="N16" s="13" t="s">
        <v>340</v>
      </c>
    </row>
    <row r="17">
      <c r="M17" s="13" t="s">
        <v>342</v>
      </c>
      <c r="N17" s="13" t="s">
        <v>342</v>
      </c>
    </row>
    <row r="18">
      <c r="M18" s="13" t="s">
        <v>343</v>
      </c>
      <c r="N18" s="13" t="s">
        <v>343</v>
      </c>
    </row>
    <row r="19">
      <c r="A19" s="1" t="s">
        <v>747</v>
      </c>
      <c r="M19" s="13" t="s">
        <v>464</v>
      </c>
      <c r="N19" s="13" t="s">
        <v>464</v>
      </c>
    </row>
    <row r="20">
      <c r="A20" s="44" t="s">
        <v>332</v>
      </c>
      <c r="B20" s="44" t="s">
        <v>333</v>
      </c>
    </row>
    <row r="21">
      <c r="A21" s="11" t="s">
        <v>768</v>
      </c>
      <c r="B21" s="31">
        <v>580.0</v>
      </c>
    </row>
    <row r="22">
      <c r="A22" s="11" t="s">
        <v>339</v>
      </c>
      <c r="B22" s="31">
        <v>758.0</v>
      </c>
      <c r="M22" s="43" t="s">
        <v>346</v>
      </c>
    </row>
    <row r="23">
      <c r="A23" s="11" t="s">
        <v>341</v>
      </c>
      <c r="B23" s="31">
        <v>2298.0</v>
      </c>
      <c r="M23" s="13" t="s">
        <v>348</v>
      </c>
      <c r="N23" s="13" t="s">
        <v>348</v>
      </c>
    </row>
    <row r="24">
      <c r="M24" s="13" t="s">
        <v>349</v>
      </c>
      <c r="N24" s="13" t="s">
        <v>349</v>
      </c>
    </row>
    <row r="25">
      <c r="M25" s="13" t="s">
        <v>351</v>
      </c>
      <c r="N25" s="13" t="s">
        <v>351</v>
      </c>
    </row>
    <row r="26">
      <c r="M26" s="13" t="s">
        <v>352</v>
      </c>
      <c r="N26" s="13" t="s">
        <v>352</v>
      </c>
    </row>
    <row r="27">
      <c r="A27" s="1" t="s">
        <v>477</v>
      </c>
      <c r="M27" s="13" t="s">
        <v>353</v>
      </c>
      <c r="N27" s="13" t="s">
        <v>353</v>
      </c>
    </row>
    <row r="28">
      <c r="A28" s="44" t="s">
        <v>332</v>
      </c>
      <c r="B28" s="44" t="s">
        <v>333</v>
      </c>
      <c r="M28" s="13" t="s">
        <v>354</v>
      </c>
      <c r="N28" s="13" t="s">
        <v>354</v>
      </c>
    </row>
    <row r="29">
      <c r="A29" s="11" t="s">
        <v>769</v>
      </c>
      <c r="B29" s="31">
        <v>361.0</v>
      </c>
      <c r="M29" s="13" t="s">
        <v>355</v>
      </c>
      <c r="N29" s="13" t="s">
        <v>355</v>
      </c>
    </row>
    <row r="30">
      <c r="A30" s="11" t="s">
        <v>339</v>
      </c>
      <c r="B30" s="31">
        <v>50.0</v>
      </c>
      <c r="M30" s="13" t="s">
        <v>356</v>
      </c>
      <c r="N30" s="13" t="s">
        <v>356</v>
      </c>
    </row>
    <row r="31">
      <c r="A31" s="11" t="s">
        <v>341</v>
      </c>
      <c r="B31" s="31">
        <v>1780.0</v>
      </c>
      <c r="M31" s="13" t="s">
        <v>358</v>
      </c>
      <c r="N31" s="13" t="s">
        <v>358</v>
      </c>
    </row>
    <row r="32">
      <c r="M32" s="13" t="s">
        <v>359</v>
      </c>
      <c r="N32" s="13" t="s">
        <v>359</v>
      </c>
    </row>
    <row r="33">
      <c r="M33" s="13" t="s">
        <v>360</v>
      </c>
      <c r="N33" s="13" t="s">
        <v>360</v>
      </c>
    </row>
    <row r="34">
      <c r="M34" s="13" t="s">
        <v>361</v>
      </c>
      <c r="N34" s="13" t="s">
        <v>361</v>
      </c>
    </row>
    <row r="35">
      <c r="A35" s="28" t="s">
        <v>345</v>
      </c>
      <c r="M35" s="13" t="s">
        <v>363</v>
      </c>
      <c r="N35" s="13" t="s">
        <v>363</v>
      </c>
    </row>
    <row r="36">
      <c r="M36" s="13" t="s">
        <v>364</v>
      </c>
      <c r="N36" s="13" t="s">
        <v>364</v>
      </c>
    </row>
    <row r="37">
      <c r="A37" s="1" t="s">
        <v>347</v>
      </c>
      <c r="M37" s="13" t="s">
        <v>365</v>
      </c>
      <c r="N37" s="13" t="s">
        <v>365</v>
      </c>
    </row>
    <row r="38">
      <c r="A38" s="1" t="s">
        <v>332</v>
      </c>
      <c r="B38" s="1" t="s">
        <v>333</v>
      </c>
      <c r="M38" s="13" t="s">
        <v>366</v>
      </c>
      <c r="N38" s="13" t="s">
        <v>366</v>
      </c>
    </row>
    <row r="39">
      <c r="A39" s="13" t="s">
        <v>770</v>
      </c>
      <c r="B39" s="41">
        <v>28200.0</v>
      </c>
      <c r="M39" s="13" t="s">
        <v>367</v>
      </c>
      <c r="N39" s="13" t="s">
        <v>367</v>
      </c>
    </row>
    <row r="40">
      <c r="A40" s="13" t="s">
        <v>771</v>
      </c>
      <c r="B40" s="41">
        <v>5403.0</v>
      </c>
      <c r="M40" s="13" t="s">
        <v>368</v>
      </c>
      <c r="N40" s="13" t="s">
        <v>368</v>
      </c>
    </row>
    <row r="41">
      <c r="A41" s="13" t="s">
        <v>339</v>
      </c>
      <c r="B41" s="41">
        <v>7853.0</v>
      </c>
      <c r="M41" s="13" t="s">
        <v>369</v>
      </c>
      <c r="N41" s="13" t="s">
        <v>369</v>
      </c>
    </row>
    <row r="42">
      <c r="A42" s="13" t="s">
        <v>341</v>
      </c>
      <c r="B42" s="41">
        <v>2107.0</v>
      </c>
      <c r="M42" s="13" t="s">
        <v>370</v>
      </c>
      <c r="N42" s="13" t="s">
        <v>370</v>
      </c>
    </row>
    <row r="45">
      <c r="M45" s="43" t="s">
        <v>372</v>
      </c>
    </row>
    <row r="46">
      <c r="A46" s="42"/>
      <c r="M46" s="13" t="s">
        <v>373</v>
      </c>
      <c r="N46" s="13" t="s">
        <v>373</v>
      </c>
    </row>
    <row r="47">
      <c r="A47" s="42"/>
      <c r="B47" s="42"/>
      <c r="M47" s="13" t="s">
        <v>465</v>
      </c>
      <c r="N47" s="13" t="s">
        <v>465</v>
      </c>
    </row>
    <row r="48">
      <c r="A48" s="42"/>
      <c r="M48" s="13" t="s">
        <v>466</v>
      </c>
      <c r="N48" s="13" t="s">
        <v>466</v>
      </c>
    </row>
    <row r="49">
      <c r="A49" s="42"/>
      <c r="M49" s="13" t="s">
        <v>467</v>
      </c>
      <c r="N49" s="13" t="s">
        <v>467</v>
      </c>
    </row>
    <row r="50">
      <c r="A50" s="42"/>
      <c r="M50" s="13" t="s">
        <v>377</v>
      </c>
      <c r="N50" s="13" t="s">
        <v>377</v>
      </c>
    </row>
    <row r="54">
      <c r="A54" s="42"/>
    </row>
    <row r="55">
      <c r="A55" s="42"/>
      <c r="B55" s="42"/>
    </row>
    <row r="56">
      <c r="A56" s="42"/>
    </row>
    <row r="57">
      <c r="A57" s="42"/>
    </row>
    <row r="58">
      <c r="A58" s="42"/>
    </row>
    <row r="59">
      <c r="A59" s="42"/>
    </row>
    <row r="60">
      <c r="A60" s="42"/>
    </row>
    <row r="61">
      <c r="A61" s="42"/>
    </row>
    <row r="62">
      <c r="A62" s="42"/>
    </row>
    <row r="63">
      <c r="A63" s="42"/>
    </row>
  </sheetData>
  <drawing r:id="rId1"/>
</worksheet>
</file>